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A2734A29-1FA6-49B3-B24B-0E50C3599CE6}" xr6:coauthVersionLast="47" xr6:coauthVersionMax="47" xr10:uidLastSave="{00000000-0000-0000-0000-000000000000}"/>
  <bookViews>
    <workbookView xWindow="-135" yWindow="-135" windowWidth="29070" windowHeight="15750" tabRatio="778" firstSheet="2" activeTab="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モンスター" sheetId="4" r:id="rId5"/>
    <sheet name="スキル" sheetId="3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5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2" i="5" l="1"/>
  <c r="K111" i="5"/>
  <c r="K110" i="5"/>
  <c r="K109" i="5"/>
  <c r="K108" i="5"/>
  <c r="K107" i="5"/>
  <c r="K106" i="5"/>
  <c r="K105" i="5"/>
  <c r="K104" i="5"/>
  <c r="K175" i="5"/>
  <c r="K174" i="5"/>
  <c r="K173" i="5"/>
  <c r="K172" i="5"/>
  <c r="K171" i="5"/>
  <c r="K170" i="5"/>
  <c r="K5" i="5"/>
  <c r="K148" i="5"/>
  <c r="K147" i="5"/>
  <c r="K146" i="5"/>
  <c r="K149" i="5"/>
  <c r="K113" i="5"/>
  <c r="K101" i="5"/>
  <c r="K100" i="5"/>
  <c r="K99" i="5"/>
  <c r="K98" i="5"/>
  <c r="K103" i="5"/>
  <c r="K102" i="5"/>
  <c r="K97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0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51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 l="1"/>
  <c r="K32" i="5" s="1"/>
  <c r="K41" i="5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<sst xmlns="http://schemas.openxmlformats.org/spreadsheetml/2006/main" count="4852" uniqueCount="2453">
  <si>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</si>
  <si>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</si>
  <si>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</si>
  <si>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</si>
  <si>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</si>
  <si>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</si>
  <si>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</si>
  <si>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</si>
  <si>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</si>
  <si>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</si>
  <si>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</si>
  <si>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</si>
  <si>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</si>
  <si>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</si>
  <si>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</si>
  <si>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</si>
  <si>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</si>
  <si>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</si>
  <si>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</si>
  <si>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</si>
  <si>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</si>
  <si>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</si>
  <si>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</si>
  <si>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</si>
  <si>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</si>
  <si>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</si>
  <si>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</si>
  <si>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</si>
  <si>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</si>
  <si>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</si>
  <si>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</si>
  <si>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</si>
  <si>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</si>
  <si>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</si>
  <si>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</si>
  <si>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</si>
  <si>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</si>
  <si>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</si>
  <si>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</si>
  <si>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</si>
  <si>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</si>
  <si>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</si>
  <si>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</si>
  <si>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</si>
  <si>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</si>
  <si>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</si>
  <si>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</si>
  <si>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</si>
  <si>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</si>
  <si>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</si>
  <si>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</si>
  <si>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</si>
  <si>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</si>
  <si>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</si>
  <si>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</si>
  <si>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</si>
  <si>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</si>
  <si>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</si>
  <si>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</si>
  <si>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</si>
  <si>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</si>
  <si>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</si>
  <si>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</si>
  <si>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</si>
  <si>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</si>
  <si>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</si>
  <si>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</si>
  <si>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</si>
  <si>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</si>
  <si>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</si>
  <si>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</si>
  <si>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</si>
  <si>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</si>
  <si>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</si>
  <si>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</si>
  <si>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</si>
  <si>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</si>
  <si>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</si>
  <si>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</si>
  <si>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</si>
  <si>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</si>
  <si>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</si>
  <si>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</si>
  <si>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</si>
  <si>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</si>
  <si>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</si>
  <si>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</si>
  <si>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</si>
  <si>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</si>
  <si>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</si>
  <si>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</si>
  <si>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</si>
  <si>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</si>
  <si>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</si>
  <si>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</si>
  <si>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</si>
  <si>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</si>
  <si>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</si>
  <si>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</si>
  <si>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</si>
  <si>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</si>
  <si>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</si>
  <si>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</si>
  <si>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</si>
  <si>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</si>
  <si>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</si>
  <si>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</si>
  <si>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</si>
  <si>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</si>
  <si>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</si>
  <si>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</si>
  <si>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</si>
  <si>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</si>
  <si>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</si>
  <si>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</si>
  <si>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</si>
  <si>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</si>
  <si>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</si>
  <si>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</si>
  <si>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</si>
  <si>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</si>
  <si>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</si>
  <si>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</si>
  <si>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</si>
  <si>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</si>
  <si>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</si>
  <si>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</si>
  <si>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</si>
  <si>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</si>
  <si>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</si>
  <si>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</si>
  <si>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</si>
  <si>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</si>
  <si>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</si>
  <si>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</si>
  <si>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</si>
  <si>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</si>
  <si>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</si>
  <si>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</si>
  <si>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</si>
  <si>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</si>
  <si>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</si>
  <si>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</si>
  <si>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</si>
  <si>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</si>
  <si>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</si>
  <si>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</si>
  <si>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</si>
  <si>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</si>
  <si>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</si>
  <si>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</si>
  <si>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</si>
  <si>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</si>
  <si>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</si>
  <si>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</si>
  <si>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</si>
  <si>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</si>
  <si>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</si>
  <si>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</si>
  <si>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</si>
  <si>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</si>
  <si>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</si>
  <si>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</si>
  <si>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</si>
  <si>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</si>
  <si>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</si>
  <si>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</si>
  <si>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</si>
  <si>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</si>
  <si>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</si>
  <si>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</si>
  <si>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</si>
  <si>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</si>
  <si>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</si>
  <si>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</si>
  <si>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</si>
  <si>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</si>
  <si>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</si>
  <si>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</si>
  <si>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</si>
  <si>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</si>
  <si>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</si>
  <si>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</si>
  <si>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</si>
  <si>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</si>
  <si>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</si>
  <si>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</si>
  <si>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</si>
  <si>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</si>
  <si>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</si>
  <si>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</si>
  <si>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</si>
  <si>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</si>
  <si>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</si>
  <si>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</si>
  <si>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</si>
  <si>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</si>
  <si>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</si>
  <si>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</si>
  <si>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</si>
  <si>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</si>
  <si>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</si>
  <si>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</si>
  <si>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</si>
  <si>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</si>
  <si>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</si>
  <si>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</si>
  <si>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</si>
  <si>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</si>
  <si>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</si>
  <si>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</si>
  <si>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</si>
  <si>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</si>
  <si>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</si>
  <si>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</si>
  <si>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</si>
  <si>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</si>
  <si>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</si>
  <si>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</si>
  <si>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</si>
  <si>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</si>
  <si>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</si>
  <si>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</si>
  <si>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</si>
  <si>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</si>
  <si>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</si>
  <si>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</si>
  <si>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</si>
  <si>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</si>
  <si>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</si>
  <si>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</si>
  <si>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</si>
  <si>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</si>
  <si>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</si>
  <si>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</si>
  <si>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</si>
  <si>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</si>
  <si>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</si>
  <si>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</si>
  <si>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</si>
  <si>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</si>
  <si>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</si>
  <si>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</si>
  <si>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</si>
  <si>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</si>
  <si>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</si>
  <si>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</si>
  <si>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</si>
  <si>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</si>
  <si>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</si>
  <si>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</si>
  <si>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</si>
  <si>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</si>
  <si>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</si>
  <si>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</si>
  <si>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</si>
  <si>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</si>
  <si>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</si>
  <si>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</si>
  <si>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</si>
  <si>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</si>
  <si>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</si>
  <si>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</si>
  <si>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</si>
  <si>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</si>
  <si>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</si>
  <si>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</si>
  <si>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</si>
  <si>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</si>
  <si>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</si>
  <si>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</si>
  <si>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</si>
  <si>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</si>
  <si>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</si>
  <si>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</si>
  <si>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</si>
  <si>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</si>
  <si>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</si>
  <si>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</si>
  <si>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</si>
  <si>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</si>
  <si>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</si>
  <si>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</si>
  <si>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</si>
  <si>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</si>
  <si>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</si>
  <si>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</si>
  <si>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</si>
  <si>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</si>
  <si>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</si>
  <si>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</si>
  <si>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</si>
  <si>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</si>
  <si>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</si>
  <si>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</si>
  <si>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</si>
  <si>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</si>
  <si>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</si>
  <si>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</si>
  <si>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</si>
  <si>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</si>
  <si>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</si>
  <si>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</si>
  <si>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</si>
  <si>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</si>
  <si>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</si>
  <si>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</si>
  <si>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</si>
  <si>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</si>
  <si>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</si>
  <si>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</si>
  <si>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</si>
  <si>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</si>
  <si>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</si>
  <si>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</si>
  <si>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</si>
  <si>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</si>
  <si>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</si>
  <si>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</si>
  <si>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</si>
  <si>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</si>
  <si>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</si>
  <si>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</si>
  <si>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</si>
  <si>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</si>
  <si>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</si>
  <si>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</si>
  <si>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</si>
  <si>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</si>
  <si>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</si>
  <si>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</si>
  <si>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</si>
  <si>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</si>
  <si>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</si>
  <si>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</si>
  <si>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</si>
  <si>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</si>
  <si>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</si>
  <si>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</si>
  <si>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</si>
  <si>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</si>
  <si>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</si>
  <si>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</si>
  <si>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</si>
  <si>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</si>
  <si>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</si>
  <si>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</si>
  <si>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</si>
  <si>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</si>
  <si>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</si>
  <si>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</si>
  <si>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</si>
  <si>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</si>
  <si>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</si>
  <si>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</si>
  <si>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</si>
  <si>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</si>
  <si>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</si>
  <si>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</si>
  <si>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</si>
  <si>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</si>
  <si>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</si>
  <si>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</si>
  <si>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</si>
  <si>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</si>
  <si>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</si>
  <si>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</si>
  <si>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</si>
  <si>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</si>
  <si>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</si>
  <si>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</si>
  <si>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</si>
  <si>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</si>
  <si>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</si>
  <si>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</si>
  <si>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</si>
  <si>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</si>
  <si>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</si>
  <si>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</si>
  <si>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</si>
  <si>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</si>
  <si>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</si>
  <si>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</si>
  <si>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</si>
  <si>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</si>
  <si>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</si>
  <si>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</si>
  <si>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</si>
  <si>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</si>
  <si>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</si>
  <si>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</si>
  <si>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</si>
  <si>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</si>
  <si>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</si>
  <si>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</si>
  <si>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</si>
  <si>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</si>
  <si>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</si>
  <si>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</si>
  <si>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</si>
  <si>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</si>
  <si>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</si>
  <si>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</si>
  <si>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</si>
  <si>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</si>
  <si>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</si>
  <si>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</si>
  <si>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</si>
  <si>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</si>
  <si>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</si>
  <si>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</si>
  <si>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</si>
  <si>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</si>
  <si>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</si>
  <si>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</si>
  <si>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</si>
  <si>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</si>
  <si>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</si>
  <si>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</si>
  <si>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</si>
  <si>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</si>
  <si>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</si>
  <si>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</si>
  <si>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</si>
  <si>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</si>
  <si>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</si>
  <si>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</si>
  <si>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</si>
  <si>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</si>
  <si>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</si>
  <si>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</si>
  <si>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</si>
  <si>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</si>
  <si>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</si>
  <si>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</si>
  <si>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</si>
  <si>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</si>
  <si>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</si>
  <si>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</si>
  <si>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</si>
  <si>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</si>
  <si>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</si>
  <si>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</si>
  <si>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</si>
  <si>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</si>
  <si>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</si>
  <si>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</si>
  <si>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</si>
  <si>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</si>
  <si>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</si>
  <si>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</si>
  <si>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</si>
  <si>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</si>
  <si>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</si>
  <si>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</si>
  <si>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</si>
  <si>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</si>
  <si>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</si>
  <si>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</si>
  <si>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</si>
  <si>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</si>
  <si>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</si>
  <si>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</si>
  <si>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</si>
  <si>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</si>
  <si>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</si>
  <si>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</si>
  <si>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</si>
  <si>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</si>
  <si>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</si>
  <si>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</si>
  <si>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</si>
  <si>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</si>
  <si>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</si>
  <si>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</si>
  <si>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</si>
  <si>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</si>
  <si>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</si>
  <si>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</si>
  <si>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</si>
  <si>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</si>
  <si>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</si>
  <si>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</si>
  <si>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</si>
  <si>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</si>
  <si>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</si>
  <si>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</si>
  <si>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</si>
  <si>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</si>
  <si>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</si>
  <si>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</si>
  <si>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</si>
  <si>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</si>
  <si>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</si>
  <si>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</si>
  <si>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</si>
  <si>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</si>
  <si>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</si>
  <si>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</si>
  <si>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</si>
  <si>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</si>
  <si>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</si>
  <si>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</si>
  <si>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</si>
  <si>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</si>
  <si>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</si>
  <si>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</si>
  <si>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</si>
  <si>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</si>
  <si>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</si>
  <si>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</si>
  <si>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</si>
  <si>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</si>
  <si>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</si>
  <si>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</si>
  <si>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</si>
  <si>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</si>
  <si>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</si>
  <si>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</si>
  <si>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</si>
  <si>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</si>
  <si>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</si>
  <si>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</si>
  <si>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</si>
  <si>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</si>
  <si>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</si>
  <si>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</si>
  <si>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</si>
  <si>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</si>
  <si>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</si>
  <si>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</si>
  <si>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</si>
  <si>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</si>
  <si>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</si>
  <si>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</si>
  <si>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</si>
  <si>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</si>
  <si>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</si>
  <si>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</si>
  <si>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</si>
  <si>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</si>
  <si>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</si>
  <si>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</si>
  <si>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</si>
  <si>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</si>
  <si>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</si>
  <si>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</si>
  <si>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</si>
  <si>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</si>
  <si>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</si>
  <si>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</si>
  <si>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</si>
  <si>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</si>
  <si>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</si>
  <si>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</si>
  <si>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</si>
  <si>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</si>
  <si>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</si>
  <si>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</si>
  <si>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</si>
  <si>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</si>
  <si>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</si>
  <si>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</si>
  <si>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</si>
  <si>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</si>
  <si>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</si>
  <si>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</si>
  <si>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</si>
  <si>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</si>
  <si>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</si>
  <si>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</si>
  <si>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</si>
  <si>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</si>
  <si>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</si>
  <si>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</si>
  <si>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</si>
  <si>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</si>
  <si>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</si>
  <si>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</si>
  <si>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</si>
  <si>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</si>
  <si>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</si>
  <si>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</si>
  <si>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</si>
  <si>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</si>
  <si>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</si>
  <si>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</si>
  <si>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</si>
  <si>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</si>
  <si>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</si>
  <si>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</si>
  <si>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</si>
  <si>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</si>
  <si>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</si>
  <si>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</si>
  <si>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</si>
  <si>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</si>
  <si>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</si>
  <si>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</si>
  <si>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</si>
  <si>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</si>
  <si>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</si>
  <si>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</si>
  <si>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</si>
  <si>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</si>
  <si>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</si>
  <si>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</si>
  <si>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</si>
  <si>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</si>
  <si>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</si>
  <si>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</si>
  <si>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</si>
  <si>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</si>
  <si>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</si>
  <si>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</si>
  <si>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</si>
  <si>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</si>
  <si>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</si>
  <si>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</si>
  <si>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</si>
  <si>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</si>
  <si>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</si>
  <si>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</si>
  <si>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</si>
  <si>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</si>
  <si>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</si>
  <si>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</si>
  <si>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</si>
  <si>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</si>
  <si>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</si>
  <si>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</si>
  <si>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</si>
  <si>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</si>
  <si>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</si>
  <si>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</si>
  <si>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</si>
  <si>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</si>
  <si>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</si>
  <si>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</si>
  <si>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</si>
  <si>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</si>
  <si>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</si>
  <si>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</si>
  <si>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</si>
  <si>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</si>
  <si>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</si>
  <si>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</si>
  <si>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</si>
  <si>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</si>
  <si>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</si>
  <si>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</si>
  <si>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</si>
  <si>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</si>
  <si>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</si>
  <si>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</si>
  <si>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</si>
  <si>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</si>
  <si>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</si>
  <si>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</si>
  <si>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</si>
  <si>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</si>
  <si>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</si>
  <si>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</si>
  <si>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</si>
  <si>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</si>
  <si>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</si>
  <si>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</si>
  <si>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</si>
  <si>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</si>
  <si>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</si>
  <si>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</si>
  <si>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</si>
  <si>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</si>
  <si>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</si>
  <si>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</si>
  <si>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</si>
  <si>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</si>
  <si>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</si>
  <si>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</si>
  <si>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</si>
  <si>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</si>
  <si>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</si>
  <si>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</si>
  <si>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</si>
  <si>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</si>
  <si>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</si>
  <si>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</si>
  <si>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</si>
  <si>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</si>
  <si>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</si>
  <si>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</si>
  <si>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</si>
  <si>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</si>
  <si>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</si>
  <si>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</si>
  <si>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</si>
  <si>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</si>
  <si>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</si>
  <si>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</si>
  <si>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</si>
  <si>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</si>
  <si>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</si>
  <si>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</si>
  <si>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</si>
  <si>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</si>
  <si>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</si>
  <si>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</si>
  <si>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</si>
  <si>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</si>
  <si>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</si>
  <si>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</si>
  <si>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</si>
  <si>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</si>
  <si>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</si>
  <si>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</si>
  <si>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</si>
  <si>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</si>
  <si>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</si>
  <si>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</si>
  <si>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</si>
  <si>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</si>
  <si>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</si>
  <si>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</si>
  <si>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</si>
  <si>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</si>
  <si>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</si>
  <si>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</si>
  <si>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</si>
  <si>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</si>
  <si>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</si>
  <si>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</si>
  <si>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</si>
  <si>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</si>
  <si>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</si>
  <si>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</si>
  <si>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</si>
  <si>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</si>
  <si>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</si>
  <si>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</si>
  <si>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</si>
  <si>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</si>
  <si>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</si>
  <si>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</si>
  <si>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</si>
  <si>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</si>
  <si>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</si>
  <si>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</si>
  <si>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</si>
  <si>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</si>
  <si>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</si>
  <si>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</si>
  <si>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</si>
  <si>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</si>
  <si>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</si>
  <si>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</si>
  <si>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</si>
  <si>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</si>
  <si>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</si>
  <si>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</si>
  <si>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</si>
  <si>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</si>
  <si>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</si>
  <si>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</si>
  <si>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</si>
  <si>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</si>
  <si>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</si>
  <si>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</si>
  <si>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</si>
  <si>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</si>
  <si>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</si>
  <si>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</si>
  <si>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</si>
  <si>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</si>
  <si>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</si>
  <si>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</si>
  <si>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</si>
  <si>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</si>
  <si>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</si>
  <si>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</si>
  <si>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</si>
  <si>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</si>
  <si>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</si>
  <si>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</si>
  <si>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</si>
  <si>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</si>
  <si>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</si>
  <si>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</si>
  <si>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</si>
  <si>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</si>
  <si>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</si>
  <si>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</si>
  <si>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</si>
  <si>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</si>
  <si>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</si>
  <si>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</si>
  <si>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</si>
  <si>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</si>
  <si>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</si>
  <si>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</si>
  <si>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</si>
  <si>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</si>
  <si>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</si>
  <si>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</si>
  <si>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</si>
  <si>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</si>
  <si>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</si>
  <si>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</si>
  <si>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</si>
  <si>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</si>
  <si>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</si>
  <si>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</si>
  <si>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</si>
  <si>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</si>
  <si>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</si>
  <si>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</si>
  <si>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</si>
  <si>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</si>
  <si>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</si>
  <si>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</si>
  <si>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</si>
  <si>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</si>
  <si>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</si>
  <si>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</si>
  <si>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</si>
  <si>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</si>
  <si>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</si>
  <si>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</si>
  <si>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</si>
  <si>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</si>
  <si>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</si>
  <si>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</si>
  <si>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</si>
  <si>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</si>
  <si>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</si>
  <si>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</si>
  <si>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</si>
  <si>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</si>
  <si>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</si>
  <si>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</si>
  <si>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</si>
  <si>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</si>
  <si>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</si>
  <si>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</si>
  <si>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</si>
  <si>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</si>
  <si>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</si>
  <si>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</si>
  <si>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</si>
  <si>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</si>
  <si>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</si>
  <si>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</si>
  <si>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</si>
  <si>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</si>
  <si>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</si>
  <si>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</si>
  <si>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</si>
  <si>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</si>
  <si>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</si>
  <si>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</si>
  <si>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</si>
  <si>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</si>
  <si>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</si>
  <si>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</si>
  <si>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</si>
  <si>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</si>
  <si>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</si>
  <si>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</si>
  <si>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</si>
  <si>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</si>
  <si>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</si>
  <si>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</si>
  <si>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</si>
  <si>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</si>
  <si>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</si>
  <si>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</si>
  <si>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</si>
  <si>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</si>
  <si>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</si>
  <si>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</si>
  <si>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</si>
  <si>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</si>
  <si>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</si>
  <si>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</si>
  <si>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</si>
  <si>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</si>
  <si>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</si>
  <si>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</si>
  <si>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</si>
  <si>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</si>
  <si>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</si>
  <si>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</si>
  <si>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</si>
  <si>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</si>
  <si>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</si>
  <si>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</si>
  <si>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</si>
  <si>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</si>
  <si>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</si>
  <si>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</si>
  <si>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</si>
  <si>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</si>
  <si>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</si>
  <si>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</si>
  <si>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</si>
  <si>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</si>
  <si>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</si>
  <si>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</si>
  <si>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</si>
  <si>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</si>
  <si>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</si>
  <si>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</si>
  <si>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</si>
  <si>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</si>
  <si>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</si>
  <si>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</si>
  <si>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</si>
  <si>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</si>
  <si>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</si>
  <si>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</si>
  <si>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</si>
  <si>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</si>
  <si>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</si>
  <si>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</si>
  <si>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</si>
  <si>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</si>
  <si>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</si>
  <si>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</si>
  <si>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</si>
  <si>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</si>
  <si>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</si>
  <si>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</si>
  <si>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</si>
  <si>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</si>
  <si>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</si>
  <si>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</si>
  <si>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</si>
  <si>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</si>
  <si>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</si>
  <si>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</si>
  <si>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</si>
  <si>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</si>
  <si>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</si>
  <si>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</si>
  <si>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</si>
  <si>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</si>
  <si>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</si>
  <si>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</si>
  <si>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</si>
  <si>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</si>
  <si>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</si>
  <si>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</si>
  <si>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</si>
  <si>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</si>
  <si>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</si>
  <si>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</si>
  <si>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</si>
  <si>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</si>
  <si>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</si>
  <si>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</si>
  <si>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</si>
  <si>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</si>
  <si>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</si>
  <si>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</si>
  <si>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</si>
  <si>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</si>
  <si>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</si>
  <si>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</si>
  <si>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</si>
  <si>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</si>
  <si>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</si>
  <si>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</si>
  <si>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</si>
  <si>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</si>
  <si>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</si>
  <si>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</si>
  <si>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</si>
  <si>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</si>
  <si>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</si>
  <si>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</si>
  <si>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</si>
  <si>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</si>
  <si>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</si>
  <si>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</si>
  <si>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</si>
  <si>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</si>
  <si>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</si>
  <si>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</si>
  <si>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</si>
  <si>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</si>
  <si>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</si>
  <si>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</si>
  <si>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</si>
  <si>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</si>
  <si>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</si>
  <si>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</si>
  <si>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</si>
  <si>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</si>
  <si>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</si>
  <si>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</si>
  <si>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</si>
  <si>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</si>
  <si>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</si>
  <si>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</si>
  <si>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</si>
  <si>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</si>
  <si>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</si>
  <si>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</si>
  <si>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</si>
  <si>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</si>
  <si>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</si>
  <si>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</si>
  <si>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</si>
  <si>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</si>
  <si>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</si>
  <si>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</si>
  <si>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</si>
  <si>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</si>
  <si>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</si>
  <si>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</si>
  <si>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</si>
  <si>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</si>
  <si>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</si>
  <si>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</si>
  <si>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</si>
  <si>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</si>
  <si>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</si>
  <si>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</si>
  <si>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</si>
  <si>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</si>
  <si>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</si>
  <si>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</si>
  <si>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</si>
  <si>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</si>
  <si>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</si>
  <si>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</si>
  <si>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</si>
  <si>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</si>
  <si>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</si>
  <si>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</si>
  <si>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</si>
  <si>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</si>
  <si>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</si>
  <si>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</si>
  <si>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</si>
  <si>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</si>
  <si>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</si>
  <si>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</si>
  <si>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</si>
  <si>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</si>
  <si>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</si>
  <si>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</si>
  <si>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</si>
  <si>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</si>
  <si>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</si>
  <si>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</si>
  <si>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</si>
  <si>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</si>
  <si>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</si>
  <si>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</si>
  <si>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</si>
  <si>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</si>
  <si>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</si>
  <si>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</si>
  <si>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</si>
  <si>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</si>
  <si>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</si>
  <si>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</si>
  <si>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</si>
  <si>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</si>
  <si>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</si>
  <si>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</si>
  <si>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</si>
  <si>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</si>
  <si>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</si>
  <si>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</si>
  <si>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</si>
  <si>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</si>
  <si>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</si>
  <si>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</si>
  <si>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</si>
  <si>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</si>
  <si>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</si>
  <si>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</si>
  <si>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</si>
  <si>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</si>
  <si>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</si>
  <si>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</si>
  <si>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</si>
  <si>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</si>
  <si>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</si>
  <si>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</si>
  <si>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</si>
  <si>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</si>
  <si>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</si>
  <si>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</si>
  <si>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</si>
  <si>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</si>
  <si>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</si>
  <si>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</si>
  <si>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</si>
  <si>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</si>
  <si>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</si>
  <si>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</si>
  <si>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</si>
  <si>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</si>
  <si>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</si>
  <si>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</si>
  <si>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</si>
  <si>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</si>
  <si>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</si>
  <si>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</si>
  <si>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</si>
  <si>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</si>
  <si>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</si>
  <si>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</si>
  <si>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</si>
  <si>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</si>
  <si>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</si>
  <si>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</si>
  <si>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</si>
  <si>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</si>
  <si>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</si>
  <si>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</si>
  <si>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</si>
  <si>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</si>
  <si>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</si>
  <si>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</si>
  <si>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</si>
  <si>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</si>
  <si>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</si>
  <si>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</si>
  <si>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</si>
  <si>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</si>
  <si>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</si>
  <si>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</si>
  <si>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</si>
  <si>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</si>
  <si>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</si>
  <si>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</si>
  <si>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</si>
  <si>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</si>
  <si>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</si>
  <si>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</si>
  <si>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</si>
  <si>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</si>
  <si>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</si>
  <si>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</si>
  <si>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</si>
  <si>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</si>
  <si>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</si>
  <si>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</si>
  <si>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</si>
  <si>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</si>
  <si>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</si>
  <si>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</si>
  <si>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</si>
  <si>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</si>
  <si>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</si>
  <si>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</si>
  <si>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</si>
  <si>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</si>
  <si>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</si>
  <si>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</si>
  <si>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</si>
  <si>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</si>
  <si>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</si>
  <si>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</si>
  <si>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</si>
  <si>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</si>
  <si>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</si>
  <si>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</si>
  <si>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</si>
  <si>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</si>
  <si>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</si>
  <si>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</si>
  <si>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</si>
  <si>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</si>
  <si>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</si>
  <si>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</si>
  <si>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</si>
  <si>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</si>
  <si>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</si>
  <si>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</si>
  <si>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</si>
  <si>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</si>
  <si>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</si>
  <si>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</si>
  <si>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</si>
  <si>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</si>
  <si>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</si>
  <si>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</si>
  <si>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</si>
  <si>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</si>
  <si>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</si>
  <si>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</si>
  <si>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</si>
  <si>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</si>
  <si>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</si>
  <si>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</si>
  <si>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</si>
  <si>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</si>
  <si>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</si>
  <si>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</si>
  <si>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</si>
  <si>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</si>
  <si>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</si>
  <si>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</si>
  <si>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</si>
  <si>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</si>
  <si>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</si>
  <si>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</si>
  <si>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</si>
  <si>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</si>
  <si>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</si>
  <si>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</si>
  <si>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</si>
  <si>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</si>
  <si>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</si>
  <si>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</si>
  <si>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</si>
  <si>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</si>
  <si>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</si>
  <si>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</si>
  <si>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</si>
  <si>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</si>
  <si>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</si>
  <si>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</si>
  <si>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</si>
  <si>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</si>
  <si>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</si>
  <si>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</si>
  <si>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</si>
  <si>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</si>
  <si>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</si>
  <si>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</si>
  <si>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</si>
  <si>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</si>
  <si>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</si>
  <si>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</si>
  <si>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</si>
  <si>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</si>
  <si>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</si>
  <si>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</si>
  <si>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</si>
  <si>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</si>
  <si>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</si>
  <si>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</si>
  <si>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</si>
  <si>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</si>
  <si>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</si>
  <si>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</si>
  <si>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</si>
  <si>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</si>
  <si>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</si>
  <si>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</si>
  <si>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</si>
  <si>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</si>
  <si>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</si>
  <si>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</si>
  <si>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</si>
  <si>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</si>
  <si>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</si>
  <si>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</si>
  <si>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</si>
  <si>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</si>
  <si>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</si>
  <si>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</si>
  <si>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</si>
  <si>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</si>
  <si>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</si>
  <si>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</si>
  <si>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</si>
  <si>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</si>
  <si>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</si>
  <si>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</si>
  <si>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</si>
  <si>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</si>
  <si>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</si>
  <si>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</si>
  <si>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</si>
  <si>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</si>
  <si>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</si>
  <si>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</si>
  <si>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</si>
  <si>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</si>
  <si>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</si>
  <si>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</si>
  <si>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</si>
  <si>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</si>
  <si>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</si>
  <si>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</si>
  <si>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</si>
  <si>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</si>
  <si>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</si>
  <si>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</si>
  <si>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</si>
  <si>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</si>
  <si>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</si>
  <si>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</si>
  <si>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</si>
  <si>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</si>
  <si>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</si>
  <si>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</si>
  <si>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</si>
  <si>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</si>
  <si>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</si>
  <si>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</si>
  <si>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</si>
  <si>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</si>
  <si>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</si>
  <si>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</si>
  <si>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</si>
  <si>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</si>
  <si>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</si>
  <si>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</si>
  <si>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</si>
  <si>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</si>
  <si>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</si>
  <si>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</si>
  <si>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</si>
  <si>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</si>
  <si>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</si>
  <si>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</si>
  <si>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</si>
  <si>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</si>
  <si>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</si>
  <si>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</si>
  <si>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</si>
  <si>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</si>
  <si>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</si>
  <si>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</si>
  <si>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</si>
  <si>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</si>
  <si>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</si>
  <si>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</si>
  <si>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</si>
  <si>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</si>
  <si>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</si>
  <si>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</si>
  <si>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</si>
  <si>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</si>
  <si>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</si>
  <si>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</si>
  <si>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</si>
  <si>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</si>
  <si>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</si>
  <si>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</si>
  <si>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</si>
  <si>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</si>
  <si>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</si>
  <si>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</si>
  <si>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</si>
  <si>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</si>
  <si>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</si>
  <si>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</si>
  <si>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</si>
  <si>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</si>
  <si>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</si>
  <si>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</si>
  <si>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</si>
  <si>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</si>
  <si>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</si>
  <si>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</si>
  <si>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</si>
  <si>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</si>
  <si>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</si>
  <si>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</si>
  <si>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</si>
  <si>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</si>
  <si>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</si>
  <si>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</si>
  <si>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</si>
  <si>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</si>
  <si>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</si>
  <si>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</si>
  <si>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</si>
  <si>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</si>
  <si>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</si>
  <si>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</si>
  <si>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</si>
  <si>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</si>
  <si>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</si>
  <si>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</si>
  <si>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</si>
  <si>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</si>
  <si>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</si>
  <si>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</si>
  <si>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</si>
  <si>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</si>
  <si>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</si>
  <si>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</si>
  <si>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</si>
  <si>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</si>
  <si>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</si>
  <si>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</si>
  <si>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</si>
  <si>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</si>
  <si>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</si>
  <si>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</si>
  <si>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</si>
  <si>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</si>
  <si>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</si>
  <si>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</si>
  <si>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</si>
  <si>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</si>
  <si>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</si>
  <si>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</si>
  <si>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</si>
  <si>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</si>
  <si>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</si>
  <si>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</si>
  <si>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</si>
  <si>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</si>
  <si>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</si>
  <si>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</si>
  <si>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</si>
  <si>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</si>
  <si>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</si>
  <si>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</si>
  <si>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</si>
  <si>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</si>
  <si>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</si>
  <si>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</si>
  <si>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</si>
  <si>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</si>
  <si>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</si>
  <si>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</si>
  <si>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</si>
  <si>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</si>
  <si>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</si>
  <si>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</si>
  <si>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</si>
  <si>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</si>
  <si>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</si>
  <si>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</si>
  <si>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</si>
  <si>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</si>
  <si>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</si>
  <si>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</si>
  <si>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</si>
  <si>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</si>
  <si>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</si>
  <si>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</si>
  <si>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</si>
  <si>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</si>
  <si>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</si>
  <si>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</si>
  <si>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</si>
  <si>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</si>
  <si>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</si>
  <si>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</si>
  <si>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</si>
  <si>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</si>
  <si>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</si>
  <si>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</si>
  <si>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</si>
  <si>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</si>
  <si>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</si>
  <si>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</si>
  <si>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</si>
  <si>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</si>
  <si>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</si>
  <si>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</si>
  <si>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</si>
  <si>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</si>
  <si>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</si>
  <si>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</si>
  <si>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</si>
  <si>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</si>
  <si>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</si>
  <si>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</si>
  <si>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</si>
  <si>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</si>
  <si>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</si>
  <si>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</si>
  <si>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</si>
  <si>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</si>
  <si>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</si>
  <si>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</si>
  <si>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</si>
  <si>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</si>
  <si>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</si>
  <si>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</si>
  <si>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</si>
  <si>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</si>
  <si>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</si>
  <si>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</si>
  <si>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</si>
  <si>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</si>
  <si>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</si>
  <si>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</si>
  <si>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</si>
  <si>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</si>
  <si>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</si>
  <si>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</si>
  <si>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</si>
  <si>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</si>
  <si>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</si>
  <si>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</si>
  <si>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</si>
  <si>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</si>
  <si>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</si>
  <si>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</si>
  <si>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</si>
  <si>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</si>
  <si>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</si>
  <si>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</si>
  <si>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</si>
  <si>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</si>
  <si>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</si>
  <si>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</si>
  <si>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</si>
  <si>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</si>
  <si>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</si>
  <si>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</si>
  <si>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</si>
  <si>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</si>
  <si>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</si>
  <si>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</si>
  <si>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</si>
  <si>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</si>
  <si>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</si>
  <si>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</si>
  <si>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</si>
  <si>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</si>
  <si>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</si>
  <si>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</si>
  <si>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</si>
  <si>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</si>
  <si>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</si>
  <si>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</si>
  <si>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</si>
  <si>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</si>
  <si>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</si>
  <si>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</si>
  <si>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</si>
  <si>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</si>
  <si>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</si>
  <si>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</si>
  <si>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</si>
  <si>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</si>
  <si>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</si>
  <si>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</si>
  <si>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</si>
  <si>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</si>
  <si>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</si>
  <si>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</si>
  <si>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</si>
  <si>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</si>
  <si>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</si>
  <si>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</si>
  <si>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</si>
  <si>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</si>
  <si>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</si>
  <si>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</si>
  <si>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</si>
  <si>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</si>
  <si>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</si>
  <si>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</si>
  <si>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</si>
  <si>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</si>
  <si>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</si>
  <si>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</si>
  <si>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</si>
  <si>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</si>
  <si>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</si>
  <si>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</si>
  <si>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</si>
  <si>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</si>
  <si>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</si>
  <si>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</si>
  <si>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</si>
  <si>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</si>
  <si>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</si>
  <si>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</si>
  <si>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</si>
  <si>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</si>
  <si>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</si>
  <si>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</si>
  <si>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</si>
  <si>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</si>
  <si>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</si>
  <si>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</si>
  <si>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</si>
  <si>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</si>
  <si>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</si>
  <si>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</si>
  <si>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</si>
  <si>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</si>
  <si>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</si>
  <si>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</si>
  <si>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</si>
  <si>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</si>
  <si>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</si>
  <si>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</si>
  <si>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</si>
  <si>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</si>
  <si>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</si>
  <si>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</si>
  <si>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</si>
  <si>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</si>
  <si>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</si>
  <si>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</si>
  <si>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</si>
  <si>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</si>
  <si>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</si>
  <si>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</si>
  <si>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</si>
  <si>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</si>
  <si>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</si>
  <si>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</si>
  <si>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</si>
  <si>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</si>
  <si>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</si>
  <si>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</si>
  <si>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</si>
  <si>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</si>
  <si>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</si>
  <si>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</si>
  <si>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</si>
  <si>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</si>
  <si>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</si>
  <si>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</si>
  <si>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</si>
  <si>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</si>
  <si>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</si>
  <si>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</si>
  <si>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</si>
  <si>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</si>
  <si>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</si>
  <si>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</si>
  <si>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</si>
  <si>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</si>
  <si>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</si>
  <si>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</si>
  <si>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</si>
  <si>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</si>
  <si>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</si>
  <si>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</si>
  <si>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</si>
  <si>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</si>
  <si>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</si>
  <si>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</si>
  <si>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</si>
  <si>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</si>
  <si>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</si>
  <si>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</si>
  <si>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</si>
  <si>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</si>
  <si>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</si>
  <si>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</si>
  <si>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</si>
  <si>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</si>
  <si>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</si>
  <si>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</si>
  <si>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</si>
  <si>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</si>
  <si>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</si>
  <si>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</si>
  <si>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</si>
  <si>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</si>
  <si>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</si>
  <si>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</si>
  <si>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</si>
  <si>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</si>
  <si>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</si>
  <si>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</si>
  <si>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</si>
  <si>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</si>
  <si>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</si>
  <si>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</si>
  <si>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</si>
  <si>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</si>
  <si>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</si>
  <si>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</si>
  <si>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</si>
  <si>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</si>
  <si>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</si>
  <si>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</si>
  <si>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</si>
  <si>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</si>
  <si>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</si>
  <si>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</si>
  <si>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</si>
  <si>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</si>
  <si>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</si>
  <si>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</si>
  <si>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</si>
  <si>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</si>
  <si>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</si>
  <si>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</si>
  <si>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</si>
  <si>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</si>
  <si>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</si>
  <si>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</si>
  <si>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</si>
  <si>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</si>
  <si>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</si>
  <si>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</si>
  <si>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</si>
  <si>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</si>
  <si>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</si>
  <si>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</si>
  <si>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</si>
  <si>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</si>
  <si>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</si>
  <si>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</si>
  <si>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</si>
  <si>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</si>
  <si>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</si>
  <si>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</si>
  <si>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</si>
  <si>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</si>
  <si>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</si>
  <si>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</si>
  <si>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</si>
  <si>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</si>
  <si>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</si>
  <si>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</si>
  <si>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</si>
  <si>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</si>
  <si>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</si>
  <si>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</si>
  <si>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</si>
  <si>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</si>
  <si>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</si>
  <si>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</si>
  <si>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</si>
  <si>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</si>
  <si>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</si>
  <si>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</si>
  <si>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</si>
  <si>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</si>
  <si>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</si>
  <si>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</si>
  <si>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</si>
  <si>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</si>
  <si>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</si>
  <si>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</si>
  <si>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</si>
  <si>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</si>
  <si>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</si>
  <si>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</si>
  <si>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</si>
  <si>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</si>
  <si>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</si>
  <si>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</si>
  <si>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</si>
  <si>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</si>
  <si>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</si>
  <si>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</si>
  <si>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</si>
  <si>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</si>
  <si>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</si>
  <si>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</si>
  <si>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</si>
  <si>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</si>
  <si>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</si>
  <si>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</si>
  <si>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</si>
  <si>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</si>
  <si>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</si>
  <si>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</si>
  <si>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</si>
  <si>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</si>
  <si>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</si>
  <si>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</si>
  <si>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</si>
  <si>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</si>
  <si>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</si>
  <si>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</si>
  <si>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</si>
  <si>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</si>
  <si>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</si>
  <si>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</si>
  <si>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</si>
  <si>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</si>
  <si>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</si>
  <si>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</si>
  <si>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</si>
  <si>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</si>
  <si>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</si>
  <si>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</si>
  <si>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</si>
  <si>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</si>
  <si>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</si>
  <si>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</si>
  <si>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</si>
  <si>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</si>
  <si>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</si>
  <si>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</si>
  <si>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</si>
  <si>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</si>
  <si>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</si>
  <si>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</si>
  <si>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</si>
  <si>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</si>
  <si>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</si>
  <si>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</si>
  <si>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</si>
  <si>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</si>
  <si>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</si>
  <si>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</si>
  <si>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</si>
  <si>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</si>
  <si>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</si>
  <si>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</si>
  <si>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</si>
  <si>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</si>
  <si>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</si>
  <si>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</si>
  <si>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</si>
  <si>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</si>
  <si>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</si>
  <si>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</si>
  <si>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</si>
  <si>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</si>
  <si>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</si>
  <si>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</si>
  <si>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</si>
  <si>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</si>
  <si>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</si>
  <si>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</si>
  <si>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</si>
  <si>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</si>
  <si>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</si>
  <si>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</si>
  <si>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</si>
  <si>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</si>
  <si>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</si>
  <si>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</si>
  <si>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</si>
  <si>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</si>
  <si>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</si>
  <si>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</si>
  <si>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</si>
  <si>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</si>
  <si>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</si>
  <si>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</si>
  <si>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</si>
  <si>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</si>
  <si>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</si>
  <si>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</si>
  <si>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</si>
  <si>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</si>
  <si>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</si>
  <si>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</si>
  <si>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</si>
  <si>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</si>
  <si>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</si>
  <si>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</si>
  <si>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</si>
  <si>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</si>
  <si>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</si>
  <si>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</si>
  <si>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</si>
  <si>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</si>
  <si>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</si>
  <si>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</si>
  <si>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</si>
  <si>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</si>
  <si>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</si>
  <si>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</si>
  <si>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</si>
  <si>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</si>
  <si>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</si>
  <si>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</si>
  <si>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</si>
  <si>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</si>
  <si>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</si>
  <si>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</si>
  <si>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</si>
  <si>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</si>
  <si>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</si>
  <si>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</si>
  <si>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</si>
  <si>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</si>
  <si>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</si>
  <si>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</si>
  <si>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</si>
  <si>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</si>
  <si>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</si>
  <si>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</si>
  <si>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</si>
  <si>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</si>
  <si>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</si>
  <si>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</si>
  <si>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</si>
  <si>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</si>
  <si>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</si>
  <si>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</si>
  <si>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</si>
  <si>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</si>
  <si>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</si>
  <si>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</si>
  <si>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</si>
  <si>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</si>
  <si>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</si>
  <si>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</si>
  <si>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</si>
  <si>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</si>
  <si>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</si>
  <si>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</si>
  <si>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</si>
  <si>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</si>
  <si>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</si>
  <si>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</si>
  <si>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</si>
  <si>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</si>
  <si>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</si>
  <si>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</si>
  <si>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</si>
  <si>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</si>
  <si>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</si>
  <si>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</si>
  <si>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</si>
  <si>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</si>
  <si>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</si>
  <si>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</si>
  <si>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</si>
  <si>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</si>
  <si>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</si>
  <si>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</si>
  <si>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</si>
  <si>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</si>
  <si>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</si>
  <si>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</si>
  <si>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</si>
  <si>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</si>
  <si>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</si>
  <si>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</si>
  <si>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</si>
  <si>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</si>
  <si>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</si>
  <si>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</si>
  <si>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</si>
  <si>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</si>
  <si>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</si>
  <si>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</si>
  <si>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</si>
  <si>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</si>
  <si>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</si>
  <si>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</si>
  <si>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</si>
  <si>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</si>
  <si>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</si>
  <si>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</si>
  <si>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</si>
  <si>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</si>
  <si>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</si>
  <si>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</si>
  <si>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</si>
  <si>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</si>
  <si>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</si>
  <si>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</si>
  <si>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</si>
  <si>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</si>
  <si>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</si>
  <si>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</si>
  <si>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</si>
  <si>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</si>
  <si>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</si>
  <si>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</si>
  <si>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</si>
  <si>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</si>
  <si>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</si>
  <si>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</si>
  <si>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</si>
  <si>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</si>
  <si>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</si>
  <si>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</si>
  <si>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</si>
  <si>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</si>
  <si>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</si>
  <si>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</si>
  <si>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</si>
  <si>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</si>
  <si>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</si>
  <si>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</si>
  <si>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</si>
  <si>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</si>
  <si>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</si>
  <si>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</si>
  <si>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</si>
  <si>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</si>
  <si>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</si>
  <si>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</si>
  <si>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</si>
  <si>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</si>
  <si>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</si>
  <si>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</si>
  <si>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</si>
  <si>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</si>
  <si>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</si>
  <si>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</si>
  <si>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</si>
  <si>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</si>
  <si>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</si>
  <si>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</si>
  <si>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</si>
  <si>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</si>
  <si>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</si>
  <si>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</si>
  <si>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</si>
  <si>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</si>
  <si>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</si>
  <si>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</si>
  <si>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</si>
  <si>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</si>
  <si>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</si>
  <si>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</si>
  <si>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</si>
  <si>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</si>
  <si>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</si>
  <si>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</si>
  <si>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</si>
  <si>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</si>
  <si>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</si>
  <si>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</si>
  <si>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</si>
  <si>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</si>
  <si>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</si>
  <si>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</si>
  <si>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</si>
  <si>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</si>
  <si>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</si>
  <si>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</si>
  <si>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</si>
  <si>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</si>
  <si>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</si>
  <si>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</si>
  <si>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</si>
  <si>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</si>
  <si>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</si>
  <si>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</si>
  <si>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</si>
  <si>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</si>
  <si>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</si>
  <si>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</si>
  <si>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</si>
  <si>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</si>
  <si>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</si>
  <si>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</si>
  <si>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</si>
  <si>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</si>
  <si>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</si>
  <si>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</si>
  <si>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</si>
  <si>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</si>
  <si>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</si>
  <si>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</si>
  <si>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</si>
  <si>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</si>
  <si>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</si>
  <si>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</si>
  <si>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</si>
  <si>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</si>
  <si>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</si>
  <si>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</si>
  <si>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</si>
  <si>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</si>
  <si>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</si>
  <si>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</si>
  <si>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</si>
  <si>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</si>
  <si>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</si>
  <si>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</si>
  <si>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</si>
  <si>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</si>
  <si>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</si>
  <si>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</si>
  <si>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</si>
  <si>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</si>
  <si>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</si>
  <si>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</si>
  <si>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</si>
  <si>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</si>
  <si>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</si>
  <si>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</si>
  <si>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</si>
  <si>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</si>
  <si>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</si>
  <si>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</si>
  <si>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</si>
  <si>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</si>
  <si>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</si>
  <si>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</si>
  <si>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</si>
  <si>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</si>
  <si>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</si>
  <si>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</si>
  <si>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</si>
  <si>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</si>
  <si>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</si>
  <si>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</si>
  <si>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</si>
  <si>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</si>
  <si>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</si>
  <si>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</si>
  <si>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</si>
  <si>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</si>
  <si>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</si>
  <si>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</si>
  <si>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</si>
  <si>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</si>
  <si>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</si>
  <si>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</si>
  <si>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</si>
  <si>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</si>
  <si>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</si>
  <si>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</si>
  <si>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</si>
  <si>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</si>
  <si>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</si>
  <si>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</si>
  <si>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</si>
  <si>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</si>
  <si>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</si>
  <si>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</si>
  <si>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</si>
  <si>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</si>
  <si>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</si>
  <si>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</si>
  <si>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</si>
  <si>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</si>
  <si>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</si>
  <si>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</si>
  <si>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</si>
  <si>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</si>
  <si>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</si>
  <si>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</si>
  <si>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</si>
  <si>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</si>
  <si>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</si>
  <si>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</si>
  <si>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</si>
  <si>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</si>
  <si>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</si>
  <si>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</si>
  <si>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</si>
  <si>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</si>
  <si>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</si>
  <si>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</si>
  <si>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</si>
  <si>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</si>
  <si>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</si>
  <si>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</si>
  <si>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</si>
  <si>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</si>
  <si>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</si>
  <si>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</si>
  <si>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</si>
  <si>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</si>
  <si>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</si>
  <si>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</si>
  <si>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</si>
  <si>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</si>
  <si>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</si>
  <si>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</si>
  <si>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</si>
  <si>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</si>
  <si>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</si>
  <si>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</si>
  <si>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</si>
  <si>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</si>
  <si>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</si>
  <si>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</si>
  <si>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</si>
  <si>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</si>
  <si>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</si>
  <si>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</si>
  <si>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</si>
  <si>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</si>
  <si>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</si>
  <si>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</si>
  <si>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</si>
  <si>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</si>
  <si>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</si>
  <si>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</si>
  <si>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</si>
  <si>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</si>
  <si>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</si>
  <si>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</si>
  <si>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</si>
  <si>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</si>
  <si>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</si>
  <si>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</si>
  <si>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</si>
  <si>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</si>
  <si>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</si>
  <si>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</si>
  <si>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</si>
  <si>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</si>
  <si>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</si>
  <si>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</si>
  <si>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</si>
  <si>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</si>
  <si>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</si>
  <si>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</si>
  <si>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</si>
  <si>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</si>
  <si>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</si>
  <si>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</si>
  <si>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</si>
  <si>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</si>
  <si>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</si>
  <si>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</si>
  <si>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</si>
  <si>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</si>
  <si>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</si>
  <si>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</si>
  <si>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</si>
  <si>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</si>
  <si>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</si>
  <si>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</si>
  <si>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</si>
  <si>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</si>
  <si>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</si>
  <si>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</si>
  <si>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</si>
  <si>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</si>
  <si>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</si>
  <si>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</si>
  <si>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</si>
  <si>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</si>
  <si>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</si>
  <si>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</si>
  <si>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</si>
  <si>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</si>
  <si>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</si>
  <si>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</si>
  <si>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</si>
  <si>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</si>
  <si>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</si>
  <si>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</si>
  <si>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</si>
  <si>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</si>
  <si>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</si>
  <si>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</si>
  <si>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</si>
  <si>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</si>
  <si>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</si>
  <si>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</si>
  <si>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</si>
  <si>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</si>
  <si>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</si>
  <si>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</si>
  <si>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</si>
  <si>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</si>
  <si>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</si>
  <si>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</si>
  <si>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</si>
  <si>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</si>
  <si>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</si>
  <si>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</si>
  <si>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</si>
  <si>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</si>
  <si>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</si>
  <si>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</si>
  <si>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</si>
  <si>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</si>
  <si>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</si>
  <si>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</si>
  <si>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</si>
  <si>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</si>
  <si>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</si>
  <si>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</si>
  <si>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</si>
  <si>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</si>
  <si>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</si>
  <si>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</si>
  <si>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</si>
  <si>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</si>
  <si>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</si>
  <si>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</si>
  <si>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</si>
  <si>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</si>
  <si>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</si>
  <si>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</si>
  <si>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</si>
  <si>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</si>
  <si>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</si>
  <si>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</si>
  <si>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</si>
  <si>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</si>
  <si>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</si>
  <si>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</si>
  <si>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</si>
  <si>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</si>
  <si>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</si>
  <si>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</si>
  <si>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</si>
  <si>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</si>
  <si>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</si>
  <si>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</si>
  <si>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</si>
  <si>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</si>
  <si>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</si>
  <si>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</si>
  <si>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</si>
  <si>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</si>
  <si>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</si>
  <si>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</si>
  <si>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</si>
  <si>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</si>
  <si>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</si>
  <si>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</si>
  <si>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</si>
  <si>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</si>
  <si>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</si>
  <si>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</si>
  <si>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</si>
  <si>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</si>
  <si>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</si>
  <si>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</si>
  <si>
    <t>ブランド</t>
  </si>
  <si>
    <t>グレード感</t>
  </si>
  <si>
    <t>バリエーション</t>
  </si>
  <si>
    <t>コメント</t>
  </si>
  <si>
    <t>中～高</t>
  </si>
  <si>
    <t>Soloist / Dinky / Kelly / King V / Warriorなど非常に多い</t>
  </si>
  <si>
    <t>Pro-Mod系など現行モデルが豊富。Jacksonとは違う方向性</t>
  </si>
  <si>
    <t>Electromatic～Professionalまで幅広い。セミアコ系も大量</t>
  </si>
  <si>
    <t>PRS SE / Core</t>
  </si>
  <si>
    <t>既にPRSあるけど、SE系まで拾うならかなり増える</t>
  </si>
  <si>
    <t>Tokai</t>
  </si>
  <si>
    <t>国産系でかなり面白い。Les Paul系、ST系、TE系など</t>
  </si>
  <si>
    <t>国産。Expert / J-Standard等でモデル展開が多い</t>
  </si>
  <si>
    <t>Universe～Global～Craft等、価格帯・モデル数ともに多い</t>
  </si>
  <si>
    <t>Navigator</t>
  </si>
  <si>
    <t>高</t>
  </si>
  <si>
    <t>★★★</t>
  </si>
  <si>
    <t>ESP系だけど独立ブランドとして見ると高級国産枠</t>
  </si>
  <si>
    <t>日本ブランド。変形系を含め個性的</t>
  </si>
  <si>
    <t>Duvell / Regius / Hydra等。ハイエンド寄り</t>
  </si>
  <si>
    <t>既に入ってるけど、Modern / Classic / Alt T等かなり多い</t>
  </si>
  <si>
    <t>ハイエンド。Classic / Angel / Drop Top等</t>
  </si>
  <si>
    <t>既にMusicManならブランド表記統一候補</t>
  </si>
  <si>
    <t>EVH</t>
  </si>
  <si>
    <t>Wolfgang中心だがグレード違いが多い</t>
  </si>
  <si>
    <t>Rickenbacker</t>
  </si>
  <si>
    <t>モデル数自体はそこまで多くないがブランド価値は高い</t>
  </si>
  <si>
    <t>中</t>
  </si>
  <si>
    <t>国産ヴィンテージ系。モデル展開が非常に広い</t>
  </si>
  <si>
    <t>Ernie Ball Music Man</t>
    <phoneticPr fontId="2"/>
  </si>
  <si>
    <t>Caparison — 日本のハイエンド系。モデル数もそこそこ</t>
  </si>
  <si>
    <t>LTD — ESPと別ブランドとして扱うなら大量追加できる</t>
  </si>
  <si>
    <t>colly、価格なし、モデル少な目</t>
    <rPh sb="6" eb="8">
      <t>カカク</t>
    </rPh>
    <rPh sb="14" eb="15">
      <t>スク</t>
    </rPh>
    <rPh sb="16" eb="17">
      <t>メ</t>
    </rPh>
    <phoneticPr fontId="2"/>
  </si>
  <si>
    <t>Bacchus</t>
    <phoneticPr fontId="2"/>
  </si>
  <si>
    <t>momoseと同じ構造かも。クロール実績あり</t>
    <rPh sb="7" eb="8">
      <t>オナ</t>
    </rPh>
    <rPh sb="9" eb="11">
      <t>コウゾウ</t>
    </rPh>
    <rPh sb="18" eb="20">
      <t>ジッセキ</t>
    </rPh>
    <phoneticPr fontId="2"/>
  </si>
  <si>
    <t>Killer</t>
    <phoneticPr fontId="2"/>
  </si>
  <si>
    <t>FUJIGEN</t>
    <phoneticPr fontId="2"/>
  </si>
  <si>
    <t>colly</t>
    <phoneticPr fontId="2"/>
  </si>
  <si>
    <t>Aristides — 超ハイエンド。モデル数は少なめ</t>
    <phoneticPr fontId="2"/>
  </si>
  <si>
    <t>見送り</t>
    <rPh sb="0" eb="2">
      <t>ミオク</t>
    </rPh>
    <phoneticPr fontId="2"/>
  </si>
  <si>
    <t>Mayones — メタル系ハイエンドとして非常に強い</t>
    <phoneticPr fontId="2"/>
  </si>
  <si>
    <t>モデル多め？カラバリをどう取るか。</t>
    <rPh sb="3" eb="4">
      <t>オオ</t>
    </rPh>
    <rPh sb="13" eb="14">
      <t>ト</t>
    </rPh>
    <phoneticPr fontId="2"/>
  </si>
  <si>
    <t>Charvel</t>
    <phoneticPr fontId="2"/>
  </si>
  <si>
    <t>colly、モデル多め？カラバリとれる</t>
    <rPh sb="9" eb="10">
      <t>オオ</t>
    </rPh>
    <phoneticPr fontId="2"/>
  </si>
  <si>
    <t>Mayones</t>
    <phoneticPr fontId="2"/>
  </si>
  <si>
    <t>Greco</t>
    <phoneticPr fontId="2"/>
  </si>
  <si>
    <t>Jackson</t>
    <phoneticPr fontId="2"/>
  </si>
  <si>
    <t>colly、価格なし、モデル少なめ？（カラー表記にクセあり）</t>
    <rPh sb="6" eb="8">
      <t>カカク</t>
    </rPh>
    <rPh sb="14" eb="15">
      <t>スク</t>
    </rPh>
    <rPh sb="22" eb="24">
      <t>ヒョウキ</t>
    </rPh>
    <phoneticPr fontId="2"/>
  </si>
  <si>
    <t>Gretsch</t>
    <phoneticPr fontId="2"/>
  </si>
  <si>
    <t>Fernandes</t>
    <phoneticPr fontId="2"/>
  </si>
  <si>
    <t>MAYONES</t>
    <phoneticPr fontId="2"/>
  </si>
  <si>
    <t>https://mayones.com/</t>
    <phoneticPr fontId="2"/>
  </si>
  <si>
    <t>クロールなし</t>
    <phoneticPr fontId="2"/>
  </si>
  <si>
    <t>Kiesel — カスタムオーダー型でバリエーションが異常に多い</t>
    <phoneticPr fontId="2"/>
  </si>
  <si>
    <t>Gretsch</t>
  </si>
  <si>
    <t>Tom Anderson</t>
    <phoneticPr fontId="2"/>
  </si>
  <si>
    <t>Rickenbacker</t>
    <phoneticPr fontId="2"/>
  </si>
  <si>
    <t>Body colorの1行目を取ればOK?</t>
    <rPh sb="12" eb="14">
      <t>ギョウメ</t>
    </rPh>
    <rPh sb="15" eb="16">
      <t>ト</t>
    </rPh>
    <phoneticPr fontId="2"/>
  </si>
  <si>
    <t>Knaggs — 高級系、モデル展開もそこそこ</t>
    <phoneticPr fontId="2"/>
  </si>
  <si>
    <t>Vigier — フランスのハイエンド</t>
    <phoneticPr fontId="2"/>
  </si>
  <si>
    <t>Suhr</t>
  </si>
  <si>
    <t>Tokai</t>
    <phoneticPr fontId="2"/>
  </si>
  <si>
    <t>知名度</t>
  </si>
  <si>
    <t>モデル規模</t>
  </si>
  <si>
    <t>個性</t>
  </si>
  <si>
    <t>優先度</t>
  </si>
  <si>
    <t>一言</t>
  </si>
  <si>
    <t>Fender</t>
  </si>
  <si>
    <t>特大</t>
  </si>
  <si>
    <t>🔥🔥🔥</t>
  </si>
  <si>
    <t>Strat / Tele / Jaguar / Jazzmaster</t>
  </si>
  <si>
    <t>Gibson</t>
  </si>
  <si>
    <t>大</t>
  </si>
  <si>
    <t>Les Paul / SG / ES</t>
  </si>
  <si>
    <t>Ibanez</t>
  </si>
  <si>
    <t>RG / AZ / JEM / Iceman</t>
  </si>
  <si>
    <t>PRS</t>
  </si>
  <si>
    <t>中〜大</t>
  </si>
  <si>
    <t>Custom 24の存在感</t>
  </si>
  <si>
    <t>ESP</t>
  </si>
  <si>
    <t>日本メタル系の王道</t>
  </si>
  <si>
    <t>Jackson</t>
  </si>
  <si>
    <t>Soloist / Dinky / Kelly / King V</t>
  </si>
  <si>
    <t>Schecter</t>
  </si>
  <si>
    <t>現代メタル系の物量が凄い</t>
  </si>
  <si>
    <t>🔥🔥</t>
  </si>
  <si>
    <t>Hollowbodyの代表格</t>
  </si>
  <si>
    <t>小〜中</t>
  </si>
  <si>
    <t>360 / 4003など唯一無二</t>
  </si>
  <si>
    <t>Music Man</t>
  </si>
  <si>
    <t>John Petrucci / StingRay等</t>
  </si>
  <si>
    <t>Charvel</t>
  </si>
  <si>
    <t>Super Strat系の名門</t>
  </si>
  <si>
    <t>ハイエンド・Super Strat</t>
  </si>
  <si>
    <t>Taylor</t>
  </si>
  <si>
    <t>アコギも入れるなら必須級</t>
  </si>
  <si>
    <t>Martin</t>
  </si>
  <si>
    <t>アコギ界の超大物</t>
  </si>
  <si>
    <t>Takamine</t>
  </si>
  <si>
    <t>日本勢の代表格</t>
  </si>
  <si>
    <t>PACIFICA / SG / Revstar / LL等</t>
  </si>
  <si>
    <t>Greco</t>
  </si>
  <si>
    <t>日本ヴィンテージ勢として面白い</t>
  </si>
  <si>
    <t>Love Rock / AST等</t>
  </si>
  <si>
    <t>B.C. Rich</t>
  </si>
  <si>
    <t>変形ギター枠の超重要ブランド</t>
  </si>
  <si>
    <t>Dean</t>
  </si>
  <si>
    <t>ML / V / Zなど</t>
  </si>
  <si>
    <t>Kramer</t>
  </si>
  <si>
    <t>🔥</t>
  </si>
  <si>
    <t>Van Halen、80年代HR/HM</t>
  </si>
  <si>
    <t>Guild</t>
  </si>
  <si>
    <t>アコギ＋セミアコ</t>
  </si>
  <si>
    <t>D'Angelico</t>
  </si>
  <si>
    <t>セミアコ・ジャズ系</t>
  </si>
  <si>
    <t>G&amp;L</t>
  </si>
  <si>
    <t>Leo Fender最後のブランド</t>
  </si>
  <si>
    <t>Frankenstein / Wolfgang</t>
  </si>
  <si>
    <t>Kiesel</t>
  </si>
  <si>
    <t>カスタム仕様が鬼</t>
  </si>
  <si>
    <t>Reverend</t>
  </si>
  <si>
    <t>個性的な現代ギター</t>
  </si>
  <si>
    <t>Godin</t>
  </si>
  <si>
    <t>カナダ勢、モデルが多彩</t>
  </si>
  <si>
    <t xml:space="preserve"> </t>
    <phoneticPr fontId="2"/>
  </si>
  <si>
    <t>有名どころ</t>
    <rPh sb="0" eb="2">
      <t>ユウメイ</t>
    </rPh>
    <phoneticPr fontId="2"/>
  </si>
  <si>
    <t>Yamaha</t>
    <phoneticPr fontId="2"/>
  </si>
  <si>
    <t>https://www.jacksonguitars.jp/</t>
    <phoneticPr fontId="2"/>
  </si>
  <si>
    <t>CHARVEL</t>
    <phoneticPr fontId="2"/>
  </si>
  <si>
    <t>https://www.charvel.jp/</t>
    <phoneticPr fontId="2"/>
  </si>
  <si>
    <t>KIESEL</t>
    <phoneticPr fontId="2"/>
  </si>
  <si>
    <t>https://www.kieselguitars.com/</t>
    <phoneticPr fontId="2"/>
  </si>
  <si>
    <t>https://fujigen.shop/</t>
    <phoneticPr fontId="2"/>
  </si>
  <si>
    <t>GRETSCH</t>
    <phoneticPr fontId="2"/>
  </si>
  <si>
    <t>https://www.gretschguitars.jp/</t>
    <phoneticPr fontId="2"/>
  </si>
  <si>
    <t>Caparison</t>
    <phoneticPr fontId="2"/>
  </si>
  <si>
    <t>https://www.caparisonguitars.com/ja</t>
    <phoneticPr fontId="2"/>
  </si>
  <si>
    <t>https://killer.jp/index.html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</si>
</sst>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.75"/>
  <cols>
    <col min="1" max="1" width="3.75" customWidth="1"/>
    <col min="2" max="3" width="8.75" customWidth="1"/>
    <col min="20" max="21" width="2.75" customWidth="1"/>
    <col min="22" max="23" width="4.125" customWidth="1"/>
    <col min="24" max="24" width="4.75" customWidth="1"/>
    <col min="25" max="25" width="8.75" customWidth="1"/>
    <col min="27" max="27" width="4.375" customWidth="1"/>
  </cols>
  <sheetData>
    <row r="1" spans="1:23">
      <c r="A1" t="s">
        <v>7</v>
      </c>
    </row>
    <row r="2" spans="1:23" ht="20.25">
      <c r="A2" s="108"/>
      <c r="B2" s="107" t="s">
        <v>1931</v>
      </c>
    </row>
    <row r="3" spans="1:23" ht="20.25">
      <c r="A3" s="107"/>
      <c r="B3" s="107" t="s">
        <v>1932</v>
      </c>
    </row>
    <row r="4" spans="1:23" ht="20.25">
      <c r="A4" s="107"/>
      <c r="B4" s="107" t="s">
        <v>1933</v>
      </c>
    </row>
    <row r="5" spans="1:23" ht="19.5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9.5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9.5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15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75"/>
  <sheetViews>
    <sheetView tabSelected="1" topLeftCell="A88" zoomScaleNormal="100" workbookViewId="0">
      <selection activeCell="E113" sqref="E113"/>
    </sheetView>
  </sheetViews>
  <sheetFormatPr defaultColWidth="9" defaultRowHeight="13.5"/>
  <cols>
    <col min="1" max="1" width="9" style="5"/>
    <col min="2" max="2" width="20.25" style="5" customWidth="1"/>
    <col min="3" max="3" width="24.125" style="5" bestFit="1" customWidth="1"/>
    <col min="4" max="4" width="17" style="5" customWidth="1"/>
    <col min="5" max="8" width="9" style="5"/>
    <col min="9" max="9" width="45.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1769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1769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1769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1769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1769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1769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1769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1777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1777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1777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1777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1777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1777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13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1777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1777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ref="K104:K112" si="15">"INSERT INTO m_code VALUES ("&amp;"'"&amp;B104&amp;"'"&amp;","&amp;E104&amp;","&amp;"'"&amp;C104&amp;"'"&amp;","&amp;"'"&amp;D104&amp;"'"&amp;","&amp;"'"&amp;F104&amp;"'"&amp;","&amp;G104&amp;","&amp;H104&amp;","&amp;"'"&amp;I104&amp;"'"&amp;");"</f>
        <v>INSERT INTO m_code VALUES ('guitar_makers',12,'Momose','','',0,0.0,'https://www.deviser.co.jp/momose');</v>
      </c>
    </row>
    <row r="105" spans="2:11">
      <c r="B105" s="8" t="s">
        <v>1777</v>
      </c>
      <c r="C105" s="8" t="s">
        <v>2364</v>
      </c>
      <c r="D105" s="8"/>
      <c r="E105" s="8">
        <v>13</v>
      </c>
      <c r="F105" s="8"/>
      <c r="G105" s="9">
        <v>0</v>
      </c>
      <c r="H105" s="9" t="s">
        <v>125</v>
      </c>
      <c r="I105" s="8" t="s">
        <v>2367</v>
      </c>
      <c r="K105" s="5" t="str">
        <f t="shared" si="15"/>
        <v>INSERT INTO m_code VALUES ('guitar_makers',13,'Fernandes','','',0,0.0,'クロールなし');</v>
      </c>
    </row>
    <row r="106" spans="2:11">
      <c r="B106" s="8" t="s">
        <v>1777</v>
      </c>
      <c r="C106" s="8" t="s">
        <v>2365</v>
      </c>
      <c r="D106" s="8"/>
      <c r="E106" s="8">
        <v>14</v>
      </c>
      <c r="F106" s="8"/>
      <c r="G106" s="9">
        <v>0</v>
      </c>
      <c r="H106" s="9" t="s">
        <v>125</v>
      </c>
      <c r="I106" s="8" t="s">
        <v>2366</v>
      </c>
      <c r="K106" s="5" t="str">
        <f t="shared" si="15"/>
        <v>INSERT INTO m_code VALUES ('guitar_makers',14,'MAYONES','','',0,0.0,'https://mayones.com/');</v>
      </c>
    </row>
    <row r="107" spans="2:11">
      <c r="B107" s="8" t="s">
        <v>1777</v>
      </c>
      <c r="C107" s="8" t="s">
        <v>2361</v>
      </c>
      <c r="D107" s="8"/>
      <c r="E107" s="8">
        <v>15</v>
      </c>
      <c r="F107" s="8"/>
      <c r="G107" s="9">
        <v>0</v>
      </c>
      <c r="H107" s="9" t="s">
        <v>125</v>
      </c>
      <c r="I107" s="8" t="s">
        <v>2442</v>
      </c>
      <c r="K107" s="5" t="str">
        <f t="shared" si="15"/>
        <v>INSERT INTO m_code VALUES ('guitar_makers',15,'Jackson','','',0,0.0,'https://www.jacksonguitars.jp/');</v>
      </c>
    </row>
    <row r="108" spans="2:11">
      <c r="B108" s="8" t="s">
        <v>1777</v>
      </c>
      <c r="C108" s="8" t="s">
        <v>2443</v>
      </c>
      <c r="D108" s="8"/>
      <c r="E108" s="8">
        <v>16</v>
      </c>
      <c r="F108" s="8"/>
      <c r="G108" s="9">
        <v>0</v>
      </c>
      <c r="H108" s="9" t="s">
        <v>125</v>
      </c>
      <c r="I108" s="8" t="s">
        <v>2444</v>
      </c>
      <c r="K108" s="5" t="str">
        <f t="shared" si="15"/>
        <v>INSERT INTO m_code VALUES ('guitar_makers',16,'CHARVEL','','',0,0.0,'https://www.charvel.jp/');</v>
      </c>
    </row>
    <row r="109" spans="2:11">
      <c r="B109" s="8" t="s">
        <v>1777</v>
      </c>
      <c r="C109" s="8" t="s">
        <v>2445</v>
      </c>
      <c r="D109" s="8"/>
      <c r="E109" s="8">
        <v>17</v>
      </c>
      <c r="F109" s="8"/>
      <c r="G109" s="9">
        <v>0</v>
      </c>
      <c r="H109" s="9" t="s">
        <v>125</v>
      </c>
      <c r="I109" s="8" t="s">
        <v>2446</v>
      </c>
      <c r="K109" s="5" t="str">
        <f t="shared" si="15"/>
        <v>INSERT INTO m_code VALUES ('guitar_makers',17,'KIESEL','','',0,0.0,'https://www.kieselguitars.com/');</v>
      </c>
    </row>
    <row r="110" spans="2:11">
      <c r="B110" s="8" t="s">
        <v>1777</v>
      </c>
      <c r="C110" s="8" t="s">
        <v>2351</v>
      </c>
      <c r="D110" s="8"/>
      <c r="E110" s="8">
        <v>18</v>
      </c>
      <c r="F110" s="8"/>
      <c r="G110" s="9">
        <v>0</v>
      </c>
      <c r="H110" s="9" t="s">
        <v>125</v>
      </c>
      <c r="I110" s="8" t="s">
        <v>2447</v>
      </c>
      <c r="K110" s="5" t="str">
        <f t="shared" si="15"/>
        <v>INSERT INTO m_code VALUES ('guitar_makers',18,'FUJIGEN','','',0,0.0,'https://fujigen.shop/');</v>
      </c>
    </row>
    <row r="111" spans="2:11">
      <c r="B111" s="8" t="s">
        <v>1777</v>
      </c>
      <c r="C111" s="8" t="s">
        <v>2448</v>
      </c>
      <c r="D111" s="8"/>
      <c r="E111" s="8">
        <v>19</v>
      </c>
      <c r="F111" s="8"/>
      <c r="G111" s="9">
        <v>0</v>
      </c>
      <c r="H111" s="9" t="s">
        <v>125</v>
      </c>
      <c r="I111" s="8" t="s">
        <v>2449</v>
      </c>
      <c r="K111" s="5" t="str">
        <f t="shared" si="15"/>
        <v>INSERT INTO m_code VALUES ('guitar_makers',19,'GRETSCH','','',0,0.0,'https://www.gretschguitars.jp/');</v>
      </c>
    </row>
    <row r="112" spans="2:11">
      <c r="B112" s="8" t="s">
        <v>1777</v>
      </c>
      <c r="C112" s="8" t="s">
        <v>2450</v>
      </c>
      <c r="D112" s="8"/>
      <c r="E112" s="8">
        <v>20</v>
      </c>
      <c r="F112" s="8"/>
      <c r="G112" s="9">
        <v>0</v>
      </c>
      <c r="H112" s="9" t="s">
        <v>125</v>
      </c>
      <c r="I112" s="8" t="s">
        <v>2451</v>
      </c>
      <c r="K112" s="5" t="str">
        <f t="shared" si="15"/>
        <v>INSERT INTO m_code VALUES ('guitar_makers',20,'Caparison','','',0,0.0,'https://www.caparisonguitars.com/ja');</v>
      </c>
    </row>
    <row r="113" spans="2:11">
      <c r="B113" s="8" t="s">
        <v>1777</v>
      </c>
      <c r="C113" s="8" t="s">
        <v>2350</v>
      </c>
      <c r="D113" s="8"/>
      <c r="E113" s="8">
        <v>21</v>
      </c>
      <c r="F113" s="8"/>
      <c r="G113" s="9">
        <v>0</v>
      </c>
      <c r="H113" s="9" t="s">
        <v>125</v>
      </c>
      <c r="I113" s="8" t="s">
        <v>2452</v>
      </c>
      <c r="K113" s="5" t="str">
        <f t="shared" si="14"/>
        <v>INSERT INTO m_code VALUES ('guitar_makers',21,'Killer','','',0,0.0,'https://killer.jp/index.html');</v>
      </c>
    </row>
    <row r="114" spans="2:11">
      <c r="B114" s="6" t="s">
        <v>1542</v>
      </c>
      <c r="C114" s="6" t="s">
        <v>1388</v>
      </c>
      <c r="D114" s="6" t="s">
        <v>1117</v>
      </c>
      <c r="E114" s="7" t="s">
        <v>123</v>
      </c>
      <c r="F114" s="6" t="s">
        <v>120</v>
      </c>
      <c r="G114" s="6" t="s">
        <v>121</v>
      </c>
      <c r="H114" s="6" t="s">
        <v>122</v>
      </c>
      <c r="I114" s="6" t="s">
        <v>133</v>
      </c>
    </row>
    <row r="115" spans="2:11">
      <c r="B115" s="8" t="s">
        <v>1778</v>
      </c>
      <c r="C115" s="8" t="s">
        <v>1425</v>
      </c>
      <c r="D115" s="8"/>
      <c r="E115" s="8">
        <v>1</v>
      </c>
      <c r="F115" s="8" t="s">
        <v>1439</v>
      </c>
      <c r="G115" s="9">
        <v>0</v>
      </c>
      <c r="H115" s="9" t="s">
        <v>125</v>
      </c>
      <c r="I115" s="8" t="s">
        <v>1463</v>
      </c>
      <c r="K115" s="5" t="str">
        <f t="shared" ref="K115:K150" si="16">"INSERT INTO m_code VALUES ("&amp;"'"&amp;B115&amp;"'"&amp;","&amp;E115&amp;","&amp;"'"&amp;C115&amp;"'"&amp;","&amp;"'"&amp;D115&amp;"'"&amp;","&amp;"'"&amp;F115&amp;"'"&amp;","&amp;G115&amp;","&amp;H115&amp;","&amp;"'"&amp;I115&amp;"'"&amp;");"</f>
        <v>INSERT INTO m_code VALUES ('guitar_woods',1,'HardMaple','','ハードメイプル',0,0.0,'硬質でタイト、明瞭なアタック。');</v>
      </c>
    </row>
    <row r="116" spans="2:11">
      <c r="B116" s="8" t="s">
        <v>1778</v>
      </c>
      <c r="C116" s="8" t="s">
        <v>1426</v>
      </c>
      <c r="D116" s="8"/>
      <c r="E116" s="8">
        <v>2</v>
      </c>
      <c r="F116" s="8" t="s">
        <v>1440</v>
      </c>
      <c r="G116" s="9">
        <v>0</v>
      </c>
      <c r="H116" s="9" t="s">
        <v>125</v>
      </c>
      <c r="I116" s="8" t="s">
        <v>1464</v>
      </c>
      <c r="K116" s="5" t="str">
        <f t="shared" si="16"/>
        <v>INSERT INTO m_code VALUES ('guitar_woods',2,'FlameMaple','','フレイムメイプル',0,0.0,'明るく抜けが良く、華やかな倍音。');</v>
      </c>
    </row>
    <row r="117" spans="2:11">
      <c r="B117" s="8" t="s">
        <v>1778</v>
      </c>
      <c r="C117" s="8" t="s">
        <v>1427</v>
      </c>
      <c r="D117" s="8"/>
      <c r="E117" s="8">
        <v>3</v>
      </c>
      <c r="F117" s="8" t="s">
        <v>1441</v>
      </c>
      <c r="G117" s="9">
        <v>0</v>
      </c>
      <c r="H117" s="9" t="s">
        <v>125</v>
      </c>
      <c r="I117" s="8" t="s">
        <v>1465</v>
      </c>
      <c r="K117" s="5" t="str">
        <f t="shared" si="16"/>
        <v>INSERT INTO m_code VALUES ('guitar_woods',3,'QuiltedMaple','','キルテッドメイプル',0,0.0,'立体的で広がりがあり、煌びやかな響き。');</v>
      </c>
    </row>
    <row r="118" spans="2:11">
      <c r="B118" s="8" t="s">
        <v>1778</v>
      </c>
      <c r="C118" s="8" t="s">
        <v>1428</v>
      </c>
      <c r="D118" s="8"/>
      <c r="E118" s="8">
        <v>4</v>
      </c>
      <c r="F118" s="8" t="s">
        <v>1442</v>
      </c>
      <c r="G118" s="9">
        <v>0</v>
      </c>
      <c r="H118" s="9" t="s">
        <v>125</v>
      </c>
      <c r="I118" s="8" t="s">
        <v>1466</v>
      </c>
      <c r="K118" s="5" t="str">
        <f t="shared" si="16"/>
        <v>INSERT INTO m_code VALUES ('guitar_woods',4,'BirdseyeMaple','','バーズアイメイプル',0,0.0,'粒立ちが良く、明るくシャープ。');</v>
      </c>
    </row>
    <row r="119" spans="2:11">
      <c r="B119" s="8" t="s">
        <v>1778</v>
      </c>
      <c r="C119" s="8" t="s">
        <v>1429</v>
      </c>
      <c r="D119" s="8"/>
      <c r="E119" s="8">
        <v>5</v>
      </c>
      <c r="F119" s="8" t="s">
        <v>1443</v>
      </c>
      <c r="G119" s="9">
        <v>0</v>
      </c>
      <c r="H119" s="9" t="s">
        <v>125</v>
      </c>
      <c r="I119" s="8" t="s">
        <v>1467</v>
      </c>
      <c r="K119" s="5" t="str">
        <f t="shared" si="16"/>
        <v>INSERT INTO m_code VALUES ('guitar_woods',5,'RoastedMaple','','ローステッドメイプル',0,0.0,'引き締まったタイトな音で反応が速い。');</v>
      </c>
    </row>
    <row r="120" spans="2:11">
      <c r="B120" s="8" t="s">
        <v>1778</v>
      </c>
      <c r="C120" s="8" t="s">
        <v>1389</v>
      </c>
      <c r="D120" s="8"/>
      <c r="E120" s="8">
        <v>6</v>
      </c>
      <c r="F120" s="8" t="s">
        <v>1438</v>
      </c>
      <c r="G120" s="9">
        <v>0</v>
      </c>
      <c r="H120" s="9" t="s">
        <v>125</v>
      </c>
      <c r="I120" s="8" t="s">
        <v>1462</v>
      </c>
      <c r="K120" s="5" t="str">
        <f t="shared" si="16"/>
        <v>INSERT INTO m_code VALUES ('guitar_woods',6,'Maple','','メイプル',0,0.0,'明るくハリがあり、アタックが強い。');</v>
      </c>
    </row>
    <row r="121" spans="2:11">
      <c r="B121" s="8" t="s">
        <v>1778</v>
      </c>
      <c r="C121" s="8" t="s">
        <v>1430</v>
      </c>
      <c r="D121" s="8"/>
      <c r="E121" s="8">
        <v>7</v>
      </c>
      <c r="F121" s="8" t="s">
        <v>1444</v>
      </c>
      <c r="G121" s="9">
        <v>0</v>
      </c>
      <c r="H121" s="9" t="s">
        <v>125</v>
      </c>
      <c r="I121" s="8" t="s">
        <v>1469</v>
      </c>
      <c r="K121" s="5" t="str">
        <f t="shared" si="16"/>
        <v>INSERT INTO m_code VALUES ('guitar_woods',7,'HonduranMahogany','','ホンジュラスマホガニー',0,0.0,'深みがあり、太くリッチな中低域。');</v>
      </c>
    </row>
    <row r="122" spans="2:11">
      <c r="B122" s="8" t="s">
        <v>1778</v>
      </c>
      <c r="C122" s="8" t="s">
        <v>1390</v>
      </c>
      <c r="D122" s="8"/>
      <c r="E122" s="8">
        <v>8</v>
      </c>
      <c r="F122" s="8" t="s">
        <v>1408</v>
      </c>
      <c r="G122" s="9">
        <v>0</v>
      </c>
      <c r="H122" s="9" t="s">
        <v>125</v>
      </c>
      <c r="I122" s="8" t="s">
        <v>1468</v>
      </c>
      <c r="K122" s="5" t="str">
        <f t="shared" si="16"/>
        <v>INSERT INTO m_code VALUES ('guitar_woods',8,'Mahogany','','マホガニー',0,0.0,'中低域が豊かで温かい音。');</v>
      </c>
    </row>
    <row r="123" spans="2:11">
      <c r="B123" s="8" t="s">
        <v>1778</v>
      </c>
      <c r="C123" s="8" t="s">
        <v>1431</v>
      </c>
      <c r="D123" s="8"/>
      <c r="E123" s="8">
        <v>9</v>
      </c>
      <c r="F123" s="8" t="s">
        <v>1445</v>
      </c>
      <c r="G123" s="9">
        <v>0</v>
      </c>
      <c r="H123" s="9" t="s">
        <v>125</v>
      </c>
      <c r="I123" s="8" t="s">
        <v>1470</v>
      </c>
      <c r="K123" s="5" t="str">
        <f t="shared" si="16"/>
        <v>INSERT INTO m_code VALUES ('guitar_woods',9,'Sapele','','サペリ',0,0.0,'温かく柔らかいトーンでバランスが良い。');</v>
      </c>
    </row>
    <row r="124" spans="2:11">
      <c r="B124" s="8" t="s">
        <v>1778</v>
      </c>
      <c r="C124" s="8" t="s">
        <v>1397</v>
      </c>
      <c r="D124" s="8"/>
      <c r="E124" s="8">
        <v>10</v>
      </c>
      <c r="F124" s="8" t="s">
        <v>1446</v>
      </c>
      <c r="G124" s="9">
        <v>0</v>
      </c>
      <c r="H124" s="9" t="s">
        <v>125</v>
      </c>
      <c r="I124" s="8" t="s">
        <v>1471</v>
      </c>
      <c r="K124" s="5" t="str">
        <f t="shared" si="16"/>
        <v>INSERT INTO m_code VALUES ('guitar_woods',10,'Korina','','コリーナ',0,0.0,'中域が豊かで太い音。');</v>
      </c>
    </row>
    <row r="125" spans="2:11">
      <c r="B125" s="8" t="s">
        <v>1778</v>
      </c>
      <c r="C125" s="8" t="s">
        <v>1432</v>
      </c>
      <c r="D125" s="8"/>
      <c r="E125" s="8">
        <v>11</v>
      </c>
      <c r="F125" s="8" t="s">
        <v>1447</v>
      </c>
      <c r="G125" s="9">
        <v>0</v>
      </c>
      <c r="H125" s="9" t="s">
        <v>125</v>
      </c>
      <c r="I125" s="8" t="s">
        <v>1472</v>
      </c>
      <c r="K125" s="5" t="str">
        <f t="shared" si="16"/>
        <v>INSERT INTO m_code VALUES ('guitar_woods',11,'WhiteKorina','','ホワイトコリーナ',0,0.0,'明るく抜けが良く、軽快なレスポンス。');</v>
      </c>
    </row>
    <row r="126" spans="2:11">
      <c r="B126" s="8" t="s">
        <v>1778</v>
      </c>
      <c r="C126" s="8" t="s">
        <v>1391</v>
      </c>
      <c r="D126" s="8"/>
      <c r="E126" s="8">
        <v>12</v>
      </c>
      <c r="F126" s="8" t="s">
        <v>1409</v>
      </c>
      <c r="G126" s="9">
        <v>0</v>
      </c>
      <c r="H126" s="9" t="s">
        <v>125</v>
      </c>
      <c r="I126" s="8" t="s">
        <v>1473</v>
      </c>
      <c r="K126" s="5" t="str">
        <f t="shared" si="16"/>
        <v>INSERT INTO m_code VALUES ('guitar_woods',12,'Alder','','アルダー',0,0.0,'バランスが良くクセが少ない。');</v>
      </c>
    </row>
    <row r="127" spans="2:11">
      <c r="B127" s="8" t="s">
        <v>1778</v>
      </c>
      <c r="C127" s="8" t="s">
        <v>1392</v>
      </c>
      <c r="D127" s="8"/>
      <c r="E127" s="8">
        <v>13</v>
      </c>
      <c r="F127" s="8" t="s">
        <v>1448</v>
      </c>
      <c r="G127" s="9">
        <v>0</v>
      </c>
      <c r="H127" s="9" t="s">
        <v>125</v>
      </c>
      <c r="I127" s="8" t="s">
        <v>1474</v>
      </c>
      <c r="K127" s="5" t="str">
        <f t="shared" si="16"/>
        <v>INSERT INTO m_code VALUES ('guitar_woods',13,'Ash','','アッシュ',0,0.0,'明るく抜ける音でアタックが強い。');</v>
      </c>
    </row>
    <row r="128" spans="2:11">
      <c r="B128" s="8" t="s">
        <v>1778</v>
      </c>
      <c r="C128" s="8" t="s">
        <v>1393</v>
      </c>
      <c r="D128" s="8"/>
      <c r="E128" s="8">
        <v>14</v>
      </c>
      <c r="F128" s="8" t="s">
        <v>1449</v>
      </c>
      <c r="G128" s="9">
        <v>0</v>
      </c>
      <c r="H128" s="9" t="s">
        <v>125</v>
      </c>
      <c r="I128" s="8" t="s">
        <v>1475</v>
      </c>
      <c r="K128" s="5" t="str">
        <f t="shared" si="16"/>
        <v>INSERT INTO m_code VALUES ('guitar_woods',14,'Basswood','','バスウッド',0,0.0,'軽く柔らかく、ウォームで扱いやすい。');</v>
      </c>
    </row>
    <row r="129" spans="2:11">
      <c r="B129" s="8" t="s">
        <v>1778</v>
      </c>
      <c r="C129" s="8" t="s">
        <v>1402</v>
      </c>
      <c r="D129" s="8"/>
      <c r="E129" s="8">
        <v>15</v>
      </c>
      <c r="F129" s="8" t="s">
        <v>1450</v>
      </c>
      <c r="G129" s="9">
        <v>0</v>
      </c>
      <c r="H129" s="9" t="s">
        <v>125</v>
      </c>
      <c r="I129" s="8" t="s">
        <v>1476</v>
      </c>
      <c r="K129" s="5" t="str">
        <f t="shared" si="16"/>
        <v>INSERT INTO m_code VALUES ('guitar_woods',15,'Poplar','','ポプラ',0,0.0,'軽く素直でクセが少ない。');</v>
      </c>
    </row>
    <row r="130" spans="2:11">
      <c r="B130" s="8" t="s">
        <v>1778</v>
      </c>
      <c r="C130" s="8" t="s">
        <v>1398</v>
      </c>
      <c r="D130" s="8"/>
      <c r="E130" s="8">
        <v>16</v>
      </c>
      <c r="F130" s="8" t="s">
        <v>1451</v>
      </c>
      <c r="G130" s="9">
        <v>0</v>
      </c>
      <c r="H130" s="9" t="s">
        <v>125</v>
      </c>
      <c r="I130" s="8" t="s">
        <v>1477</v>
      </c>
      <c r="K130" s="5" t="str">
        <f t="shared" si="16"/>
        <v>INSERT INTO m_code VALUES ('guitar_woods',16,'Spruce','','スプルース',0,0.0,'軽く響きが良く、明るいトーン。');</v>
      </c>
    </row>
    <row r="131" spans="2:11">
      <c r="B131" s="8" t="s">
        <v>1778</v>
      </c>
      <c r="C131" s="8" t="s">
        <v>1399</v>
      </c>
      <c r="D131" s="8"/>
      <c r="E131" s="8">
        <v>17</v>
      </c>
      <c r="F131" s="8" t="s">
        <v>1452</v>
      </c>
      <c r="G131" s="9">
        <v>0</v>
      </c>
      <c r="H131" s="9" t="s">
        <v>125</v>
      </c>
      <c r="I131" s="8" t="s">
        <v>1478</v>
      </c>
      <c r="K131" s="5" t="str">
        <f t="shared" si="16"/>
        <v>INSERT INTO m_code VALUES ('guitar_woods',17,'Cedar','','シダー',0,0.0,'柔らかく温かい音。');</v>
      </c>
    </row>
    <row r="132" spans="2:11">
      <c r="B132" s="8" t="s">
        <v>1778</v>
      </c>
      <c r="C132" s="8" t="s">
        <v>1433</v>
      </c>
      <c r="D132" s="8"/>
      <c r="E132" s="8">
        <v>18</v>
      </c>
      <c r="F132" s="8" t="s">
        <v>1454</v>
      </c>
      <c r="G132" s="9">
        <v>0</v>
      </c>
      <c r="H132" s="9" t="s">
        <v>125</v>
      </c>
      <c r="I132" s="8" t="s">
        <v>1480</v>
      </c>
      <c r="K132" s="5" t="str">
        <f t="shared" si="16"/>
        <v>INSERT INTO m_code VALUES ('guitar_woods',18,'IndianRosewood','','インディアンローズウッド',0,0.0,'甘く深みがあり、豊かな中低域。');</v>
      </c>
    </row>
    <row r="133" spans="2:11">
      <c r="B133" s="8" t="s">
        <v>1778</v>
      </c>
      <c r="C133" s="8" t="s">
        <v>1434</v>
      </c>
      <c r="D133" s="8"/>
      <c r="E133" s="8">
        <v>19</v>
      </c>
      <c r="F133" s="8" t="s">
        <v>1455</v>
      </c>
      <c r="G133" s="9">
        <v>0</v>
      </c>
      <c r="H133" s="9" t="s">
        <v>125</v>
      </c>
      <c r="I133" s="8" t="s">
        <v>1481</v>
      </c>
      <c r="K133" s="5" t="str">
        <f t="shared" si="16"/>
        <v>INSERT INTO m_code VALUES ('guitar_woods',19,'BrazilianRosewood','','ブラジリアンローズウッド',0,0.0,'濃厚で深いトーン、豊かな倍音。');</v>
      </c>
    </row>
    <row r="134" spans="2:11">
      <c r="B134" s="8" t="s">
        <v>1778</v>
      </c>
      <c r="C134" s="8" t="s">
        <v>1394</v>
      </c>
      <c r="D134" s="8"/>
      <c r="E134" s="8">
        <v>20</v>
      </c>
      <c r="F134" s="8" t="s">
        <v>1453</v>
      </c>
      <c r="G134" s="9">
        <v>0</v>
      </c>
      <c r="H134" s="9" t="s">
        <v>125</v>
      </c>
      <c r="I134" s="8" t="s">
        <v>1479</v>
      </c>
      <c r="K134" s="5" t="str">
        <f t="shared" si="16"/>
        <v>INSERT INTO m_code VALUES ('guitar_woods',20,'Rosewood','','ローズウッド',0,0.0,'甘く丸い音で中域が豊か。');</v>
      </c>
    </row>
    <row r="135" spans="2:11">
      <c r="B135" s="8" t="s">
        <v>1778</v>
      </c>
      <c r="C135" s="8" t="s">
        <v>1435</v>
      </c>
      <c r="D135" s="8"/>
      <c r="E135" s="8">
        <v>21</v>
      </c>
      <c r="F135" s="8" t="s">
        <v>1410</v>
      </c>
      <c r="G135" s="9">
        <v>0</v>
      </c>
      <c r="H135" s="9" t="s">
        <v>125</v>
      </c>
      <c r="I135" s="8" t="s">
        <v>1482</v>
      </c>
      <c r="K135" s="5" t="str">
        <f t="shared" si="16"/>
        <v>INSERT INTO m_code VALUES ('guitar_woods',21,'PauFerro','','パーフェロー',0,0.0,'明るく硬質でタイトな音。');</v>
      </c>
    </row>
    <row r="136" spans="2:11">
      <c r="B136" s="8" t="s">
        <v>1778</v>
      </c>
      <c r="C136" s="8" t="s">
        <v>1400</v>
      </c>
      <c r="D136" s="8"/>
      <c r="E136" s="8">
        <v>22</v>
      </c>
      <c r="F136" s="8" t="s">
        <v>1411</v>
      </c>
      <c r="G136" s="9">
        <v>0</v>
      </c>
      <c r="H136" s="9" t="s">
        <v>125</v>
      </c>
      <c r="I136" s="8" t="s">
        <v>1483</v>
      </c>
      <c r="K136" s="5" t="str">
        <f t="shared" si="16"/>
        <v>INSERT INTO m_code VALUES ('guitar_woods',22,'Ovangkol','','オバンコール',0,0.0,'中域が豊かで温かいトーン。');</v>
      </c>
    </row>
    <row r="137" spans="2:11">
      <c r="B137" s="8" t="s">
        <v>1778</v>
      </c>
      <c r="C137" s="8" t="s">
        <v>1395</v>
      </c>
      <c r="D137" s="8"/>
      <c r="E137" s="8">
        <v>23</v>
      </c>
      <c r="F137" s="8" t="s">
        <v>1456</v>
      </c>
      <c r="G137" s="9">
        <v>0</v>
      </c>
      <c r="H137" s="9" t="s">
        <v>125</v>
      </c>
      <c r="I137" s="8" t="s">
        <v>1484</v>
      </c>
      <c r="K137" s="5" t="str">
        <f t="shared" si="16"/>
        <v>INSERT INTO m_code VALUES ('guitar_woods',23,'Ebony','','エボニー',0,0.0,'硬くタイトで高域がクリア。');</v>
      </c>
    </row>
    <row r="138" spans="2:11">
      <c r="B138" s="8" t="s">
        <v>1778</v>
      </c>
      <c r="C138" s="8" t="s">
        <v>1396</v>
      </c>
      <c r="D138" s="8"/>
      <c r="E138" s="8">
        <v>24</v>
      </c>
      <c r="F138" s="8" t="s">
        <v>1457</v>
      </c>
      <c r="G138" s="9">
        <v>0</v>
      </c>
      <c r="H138" s="9" t="s">
        <v>125</v>
      </c>
      <c r="I138" s="8" t="s">
        <v>1416</v>
      </c>
      <c r="K138" s="5" t="str">
        <f t="shared" si="16"/>
        <v>INSERT INTO m_code VALUES ('guitar_woods',24,'Walnut','','ウォルナット',0,0.0,'中域が豊かで落ち着いたトーン。');</v>
      </c>
    </row>
    <row r="139" spans="2:11">
      <c r="B139" s="8" t="s">
        <v>1778</v>
      </c>
      <c r="C139" s="8" t="s">
        <v>1436</v>
      </c>
      <c r="D139" s="8"/>
      <c r="E139" s="8">
        <v>25</v>
      </c>
      <c r="F139" s="8" t="s">
        <v>1458</v>
      </c>
      <c r="G139" s="9">
        <v>0</v>
      </c>
      <c r="H139" s="9" t="s">
        <v>125</v>
      </c>
      <c r="I139" s="8" t="s">
        <v>1485</v>
      </c>
      <c r="K139" s="5" t="str">
        <f t="shared" si="16"/>
        <v>INSERT INTO m_code VALUES ('guitar_woods',25,'Padauk','','パドゥーク',0,0.0,'明るく抜けが良く、個性的な響き。');</v>
      </c>
    </row>
    <row r="140" spans="2:11">
      <c r="B140" s="8" t="s">
        <v>1778</v>
      </c>
      <c r="C140" s="8" t="s">
        <v>1401</v>
      </c>
      <c r="D140" s="8"/>
      <c r="E140" s="8">
        <v>26</v>
      </c>
      <c r="F140" s="8" t="s">
        <v>1459</v>
      </c>
      <c r="G140" s="9">
        <v>0</v>
      </c>
      <c r="H140" s="9" t="s">
        <v>125</v>
      </c>
      <c r="I140" s="8" t="s">
        <v>1486</v>
      </c>
      <c r="K140" s="5" t="str">
        <f t="shared" si="16"/>
        <v>INSERT INTO m_code VALUES ('guitar_woods',26,'Koa','','コア',0,0.0,'明るく華やかで軽快。');</v>
      </c>
    </row>
    <row r="141" spans="2:11">
      <c r="B141" s="8" t="s">
        <v>1778</v>
      </c>
      <c r="C141" s="8" t="s">
        <v>1403</v>
      </c>
      <c r="D141" s="8"/>
      <c r="E141" s="8">
        <v>27</v>
      </c>
      <c r="F141" s="8" t="s">
        <v>1460</v>
      </c>
      <c r="G141" s="9">
        <v>0</v>
      </c>
      <c r="H141" s="9" t="s">
        <v>125</v>
      </c>
      <c r="I141" s="8" t="s">
        <v>1487</v>
      </c>
      <c r="K141" s="5" t="str">
        <f t="shared" si="16"/>
        <v>INSERT INTO m_code VALUES ('guitar_woods',27,'Nato','','ナトー',0,0.0,'中低域が豊かで温かい。');</v>
      </c>
    </row>
    <row r="142" spans="2:11">
      <c r="B142" s="8" t="s">
        <v>1778</v>
      </c>
      <c r="C142" s="8" t="s">
        <v>1404</v>
      </c>
      <c r="D142" s="8"/>
      <c r="E142" s="8">
        <v>28</v>
      </c>
      <c r="F142" s="8" t="s">
        <v>1412</v>
      </c>
      <c r="G142" s="9">
        <v>0</v>
      </c>
      <c r="H142" s="9" t="s">
        <v>125</v>
      </c>
      <c r="I142" s="8" t="s">
        <v>1488</v>
      </c>
      <c r="K142" s="5" t="str">
        <f t="shared" si="16"/>
        <v>INSERT INTO m_code VALUES ('guitar_woods',28,'Agathis','','アガチス',0,0.0,'柔らかくウォームで素直。');</v>
      </c>
    </row>
    <row r="143" spans="2:11">
      <c r="B143" s="8" t="s">
        <v>1778</v>
      </c>
      <c r="C143" s="8" t="s">
        <v>1405</v>
      </c>
      <c r="D143" s="8"/>
      <c r="E143" s="8">
        <v>29</v>
      </c>
      <c r="F143" s="8" t="s">
        <v>1413</v>
      </c>
      <c r="G143" s="9">
        <v>0</v>
      </c>
      <c r="H143" s="9" t="s">
        <v>125</v>
      </c>
      <c r="I143" s="8" t="s">
        <v>1489</v>
      </c>
      <c r="K143" s="5" t="str">
        <f t="shared" si="16"/>
        <v>INSERT INTO m_code VALUES ('guitar_woods',29,'Bubinga','','ブビンガ',0,0.0,'重く硬質でサスティンが長い。');</v>
      </c>
    </row>
    <row r="144" spans="2:11">
      <c r="B144" s="8" t="s">
        <v>1778</v>
      </c>
      <c r="C144" s="8" t="s">
        <v>1406</v>
      </c>
      <c r="D144" s="8"/>
      <c r="E144" s="8">
        <v>30</v>
      </c>
      <c r="F144" s="8" t="s">
        <v>1414</v>
      </c>
      <c r="G144" s="9">
        <v>0</v>
      </c>
      <c r="H144" s="9" t="s">
        <v>125</v>
      </c>
      <c r="I144" s="8" t="s">
        <v>1490</v>
      </c>
      <c r="K144" s="5" t="str">
        <f t="shared" si="16"/>
        <v>INSERT INTO m_code VALUES ('guitar_woods',30,'Wenge','','ウェンジ',0,0.0,'非常に硬くタイトで個性的。');</v>
      </c>
    </row>
    <row r="145" spans="2:11">
      <c r="B145" s="8" t="s">
        <v>1778</v>
      </c>
      <c r="C145" s="8" t="s">
        <v>1407</v>
      </c>
      <c r="D145" s="8"/>
      <c r="E145" s="8">
        <v>31</v>
      </c>
      <c r="F145" s="8" t="s">
        <v>1415</v>
      </c>
      <c r="G145" s="9">
        <v>0</v>
      </c>
      <c r="H145" s="9" t="s">
        <v>125</v>
      </c>
      <c r="I145" s="8" t="s">
        <v>1491</v>
      </c>
      <c r="K145" s="5" t="str">
        <f t="shared" si="16"/>
        <v>INSERT INTO m_code VALUES ('guitar_woods',31,'Purpleheart','','パープルハート',0,0.0,'硬く鮮やかでアタックが強い。');</v>
      </c>
    </row>
    <row r="146" spans="2:11">
      <c r="B146" s="8" t="s">
        <v>1778</v>
      </c>
      <c r="C146" s="8" t="s">
        <v>1437</v>
      </c>
      <c r="D146" s="8"/>
      <c r="E146" s="8">
        <v>32</v>
      </c>
      <c r="F146" s="8" t="s">
        <v>1461</v>
      </c>
      <c r="G146" s="9">
        <v>0</v>
      </c>
      <c r="H146" s="9" t="s">
        <v>125</v>
      </c>
      <c r="I146" s="8" t="s">
        <v>1492</v>
      </c>
      <c r="K146" s="5" t="str">
        <f t="shared" si="16"/>
        <v>INSERT INTO m_code VALUES ('guitar_woods',32,'Zebrawood','','ゼブラウッド',0,0.0,'明るく硬質でクセのあるトーン。');</v>
      </c>
    </row>
    <row r="147" spans="2:11">
      <c r="B147" s="8" t="s">
        <v>1778</v>
      </c>
      <c r="C147" s="8" t="s">
        <v>1558</v>
      </c>
      <c r="D147" s="8"/>
      <c r="E147" s="8">
        <v>33</v>
      </c>
      <c r="F147" s="8" t="s">
        <v>1559</v>
      </c>
      <c r="G147" s="9">
        <v>0</v>
      </c>
      <c r="H147" s="9" t="s">
        <v>125</v>
      </c>
      <c r="I147" s="8" t="s">
        <v>1560</v>
      </c>
      <c r="K147" s="5" t="str">
        <f t="shared" si="16"/>
        <v>INSERT INTO m_code VALUES ('guitar_woods',33,'Okoume','','オクメ',0,0.0,'マホガニーに近く、中低域が豊かで軽量。');</v>
      </c>
    </row>
    <row r="148" spans="2:11">
      <c r="B148" s="8" t="s">
        <v>1778</v>
      </c>
      <c r="C148" s="8" t="s">
        <v>1562</v>
      </c>
      <c r="D148" s="8"/>
      <c r="E148" s="8">
        <v>34</v>
      </c>
      <c r="F148" s="8" t="s">
        <v>1561</v>
      </c>
      <c r="G148" s="9">
        <v>0</v>
      </c>
      <c r="H148" s="9" t="s">
        <v>125</v>
      </c>
      <c r="I148" s="8" t="s">
        <v>1563</v>
      </c>
      <c r="K148" s="5" t="str">
        <f t="shared" ref="K148" si="17">"INSERT INTO m_code VALUES ("&amp;"'"&amp;B148&amp;"'"&amp;","&amp;E148&amp;","&amp;"'"&amp;C148&amp;"'"&amp;","&amp;"'"&amp;D148&amp;"'"&amp;","&amp;"'"&amp;F148&amp;"'"&amp;","&amp;G148&amp;","&amp;H148&amp;","&amp;"'"&amp;I148&amp;"'"&amp;");"</f>
        <v>INSERT INTO m_code VALUES ('guitar_woods',34,'Meranti','','メランティ',0,0.0,'中域寄りで温かめ、マホガニー系に近い。');</v>
      </c>
    </row>
    <row r="149" spans="2:11">
      <c r="B149" s="8" t="s">
        <v>1778</v>
      </c>
      <c r="C149" s="8" t="s">
        <v>1564</v>
      </c>
      <c r="D149" s="8"/>
      <c r="E149" s="8">
        <v>35</v>
      </c>
      <c r="F149" s="8" t="s">
        <v>1565</v>
      </c>
      <c r="G149" s="9">
        <v>0</v>
      </c>
      <c r="H149" s="9" t="s">
        <v>125</v>
      </c>
      <c r="I149" s="8" t="s">
        <v>1569</v>
      </c>
      <c r="K149" s="5" t="str">
        <f t="shared" ref="K149" si="18">"INSERT INTO m_code VALUES ("&amp;"'"&amp;B149&amp;"'"&amp;","&amp;E149&amp;","&amp;"'"&amp;C149&amp;"'"&amp;","&amp;"'"&amp;D149&amp;"'"&amp;","&amp;"'"&amp;F149&amp;"'"&amp;","&amp;G149&amp;","&amp;H149&amp;","&amp;"'"&amp;I149&amp;"'"&amp;");"</f>
        <v>INSERT INTO m_code VALUES ('guitar_woods',35,'Sakura','','サクラ',0,0.0,'中高域が明るく立ち上がりが速い、日本らしい軽快で抜けの良いサウンド。');</v>
      </c>
    </row>
    <row r="150" spans="2:11">
      <c r="B150" s="8" t="s">
        <v>1778</v>
      </c>
      <c r="C150" s="8" t="s">
        <v>1566</v>
      </c>
      <c r="D150" s="8"/>
      <c r="E150" s="8">
        <v>36</v>
      </c>
      <c r="F150" s="8" t="s">
        <v>1567</v>
      </c>
      <c r="G150" s="9">
        <v>0</v>
      </c>
      <c r="H150" s="9" t="s">
        <v>125</v>
      </c>
      <c r="I150" s="8" t="s">
        <v>1568</v>
      </c>
      <c r="K150" s="5" t="str">
        <f t="shared" si="16"/>
        <v>INSERT INTO m_code VALUES ('guitar_woods',36,'Tochi','','トチ',0,0.0,'メイプルに近いクリアさと華やかさを持ちつつ、やや柔らかく豊かな倍音.');</v>
      </c>
    </row>
    <row r="151" spans="2:11">
      <c r="B151" s="8" t="s">
        <v>1778</v>
      </c>
      <c r="C151" s="8" t="s">
        <v>1424</v>
      </c>
      <c r="D151" s="8"/>
      <c r="E151" s="8">
        <v>99</v>
      </c>
      <c r="F151" s="8" t="s">
        <v>1423</v>
      </c>
      <c r="G151" s="9">
        <v>0</v>
      </c>
      <c r="H151" s="9" t="s">
        <v>125</v>
      </c>
      <c r="I151" s="8"/>
      <c r="K151" s="5" t="str">
        <f>"INSERT INTO m_code VALUES ("&amp;"'"&amp;B151&amp;"'"&amp;","&amp;E151&amp;","&amp;"'"&amp;C151&amp;"'"&amp;","&amp;"'"&amp;D151&amp;"'"&amp;","&amp;"'"&amp;F151&amp;"'"&amp;","&amp;G151&amp;","&amp;H151&amp;","&amp;"'"&amp;I151&amp;"'"&amp;");"</f>
        <v>INSERT INTO m_code VALUES ('guitar_woods',99,'Unknown','','？？',0,0.0,'');</v>
      </c>
    </row>
    <row r="152" spans="2:11">
      <c r="B152" s="6" t="s">
        <v>1503</v>
      </c>
      <c r="C152" s="6" t="s">
        <v>1502</v>
      </c>
      <c r="D152" s="6" t="s">
        <v>1117</v>
      </c>
      <c r="E152" s="7" t="s">
        <v>123</v>
      </c>
      <c r="F152" s="6" t="s">
        <v>120</v>
      </c>
      <c r="G152" s="6" t="s">
        <v>121</v>
      </c>
      <c r="H152" s="6" t="s">
        <v>122</v>
      </c>
      <c r="I152" s="6" t="s">
        <v>133</v>
      </c>
    </row>
    <row r="153" spans="2:11">
      <c r="B153" s="8" t="s">
        <v>1779</v>
      </c>
      <c r="C153" s="8" t="s">
        <v>1504</v>
      </c>
      <c r="D153" s="8"/>
      <c r="E153" s="8">
        <v>1</v>
      </c>
      <c r="F153" s="8" t="s">
        <v>1520</v>
      </c>
      <c r="G153" s="9">
        <v>0</v>
      </c>
      <c r="H153" s="9" t="s">
        <v>125</v>
      </c>
      <c r="I153" s="8"/>
      <c r="K153" s="5" t="str">
        <f t="shared" ref="K153:K175" si="19">"INSERT INTO m_code VALUES ("&amp;"'"&amp;B153&amp;"'"&amp;","&amp;E153&amp;","&amp;"'"&amp;C153&amp;"'"&amp;","&amp;"'"&amp;D153&amp;"'"&amp;","&amp;"'"&amp;F153&amp;"'"&amp;","&amp;G153&amp;","&amp;H153&amp;","&amp;"'"&amp;I153&amp;"'"&amp;");"</f>
        <v>INSERT INTO m_code VALUES ('guitar_colors',1,'Red','','レッド',0,0.0,'');</v>
      </c>
    </row>
    <row r="154" spans="2:11">
      <c r="B154" s="8" t="s">
        <v>1779</v>
      </c>
      <c r="C154" s="8" t="s">
        <v>1518</v>
      </c>
      <c r="D154" s="8"/>
      <c r="E154" s="8">
        <v>2</v>
      </c>
      <c r="F154" s="8" t="s">
        <v>1521</v>
      </c>
      <c r="G154" s="9">
        <v>0</v>
      </c>
      <c r="H154" s="9" t="s">
        <v>125</v>
      </c>
      <c r="I154" s="8"/>
      <c r="K154" s="5" t="str">
        <f t="shared" si="19"/>
        <v>INSERT INTO m_code VALUES ('guitar_colors',2,'Pink','','ピンク',0,0.0,'');</v>
      </c>
    </row>
    <row r="155" spans="2:11">
      <c r="B155" s="8" t="s">
        <v>1779</v>
      </c>
      <c r="C155" s="8" t="s">
        <v>1505</v>
      </c>
      <c r="D155" s="8"/>
      <c r="E155" s="8">
        <v>3</v>
      </c>
      <c r="F155" s="8" t="s">
        <v>1522</v>
      </c>
      <c r="G155" s="9">
        <v>0</v>
      </c>
      <c r="H155" s="9" t="s">
        <v>125</v>
      </c>
      <c r="I155" s="8"/>
      <c r="K155" s="5" t="str">
        <f t="shared" si="19"/>
        <v>INSERT INTO m_code VALUES ('guitar_colors',3,'Orange','','オレンジ',0,0.0,'');</v>
      </c>
    </row>
    <row r="156" spans="2:11">
      <c r="B156" s="8" t="s">
        <v>1779</v>
      </c>
      <c r="C156" s="8" t="s">
        <v>1506</v>
      </c>
      <c r="D156" s="8"/>
      <c r="E156" s="8">
        <v>4</v>
      </c>
      <c r="F156" s="8" t="s">
        <v>1523</v>
      </c>
      <c r="G156" s="9">
        <v>0</v>
      </c>
      <c r="H156" s="9" t="s">
        <v>125</v>
      </c>
      <c r="I156" s="8"/>
      <c r="K156" s="5" t="str">
        <f t="shared" si="19"/>
        <v>INSERT INTO m_code VALUES ('guitar_colors',4,'Yellow','','イエロー',0,0.0,'');</v>
      </c>
    </row>
    <row r="157" spans="2:11">
      <c r="B157" s="8" t="s">
        <v>1779</v>
      </c>
      <c r="C157" s="8" t="s">
        <v>1507</v>
      </c>
      <c r="D157" s="8"/>
      <c r="E157" s="8">
        <v>5</v>
      </c>
      <c r="F157" s="8" t="s">
        <v>1524</v>
      </c>
      <c r="G157" s="9">
        <v>0</v>
      </c>
      <c r="H157" s="9" t="s">
        <v>125</v>
      </c>
      <c r="I157" s="8"/>
      <c r="K157" s="5" t="str">
        <f t="shared" si="19"/>
        <v>INSERT INTO m_code VALUES ('guitar_colors',5,'Green','','グリーン',0,0.0,'');</v>
      </c>
    </row>
    <row r="158" spans="2:11">
      <c r="B158" s="8" t="s">
        <v>1779</v>
      </c>
      <c r="C158" s="8" t="s">
        <v>1508</v>
      </c>
      <c r="D158" s="8"/>
      <c r="E158" s="8">
        <v>6</v>
      </c>
      <c r="F158" s="8" t="s">
        <v>1525</v>
      </c>
      <c r="G158" s="9">
        <v>0</v>
      </c>
      <c r="H158" s="9" t="s">
        <v>125</v>
      </c>
      <c r="I158" s="8"/>
      <c r="K158" s="5" t="str">
        <f t="shared" si="19"/>
        <v>INSERT INTO m_code VALUES ('guitar_colors',6,'SkyBlue','','スカイブルー',0,0.0,'');</v>
      </c>
    </row>
    <row r="159" spans="2:11">
      <c r="B159" s="8" t="s">
        <v>1779</v>
      </c>
      <c r="C159" s="8" t="s">
        <v>1509</v>
      </c>
      <c r="D159" s="8"/>
      <c r="E159" s="8">
        <v>7</v>
      </c>
      <c r="F159" s="8" t="s">
        <v>1526</v>
      </c>
      <c r="G159" s="9">
        <v>0</v>
      </c>
      <c r="H159" s="9" t="s">
        <v>125</v>
      </c>
      <c r="I159" s="8"/>
      <c r="K159" s="5" t="str">
        <f t="shared" si="19"/>
        <v>INSERT INTO m_code VALUES ('guitar_colors',7,'Blue','','ブルー',0,0.0,'');</v>
      </c>
    </row>
    <row r="160" spans="2:11">
      <c r="B160" s="8" t="s">
        <v>1779</v>
      </c>
      <c r="C160" s="8" t="s">
        <v>1510</v>
      </c>
      <c r="D160" s="8"/>
      <c r="E160" s="8">
        <v>8</v>
      </c>
      <c r="F160" s="8" t="s">
        <v>1527</v>
      </c>
      <c r="G160" s="9">
        <v>0</v>
      </c>
      <c r="H160" s="9" t="s">
        <v>125</v>
      </c>
      <c r="I160" s="8"/>
      <c r="K160" s="5" t="str">
        <f t="shared" si="19"/>
        <v>INSERT INTO m_code VALUES ('guitar_colors',8,'Purple','','パープル',0,0.0,'');</v>
      </c>
    </row>
    <row r="161" spans="2:11">
      <c r="B161" s="8" t="s">
        <v>1779</v>
      </c>
      <c r="C161" s="8" t="s">
        <v>1511</v>
      </c>
      <c r="D161" s="8"/>
      <c r="E161" s="8">
        <v>9</v>
      </c>
      <c r="F161" s="8" t="s">
        <v>1528</v>
      </c>
      <c r="G161" s="9">
        <v>0</v>
      </c>
      <c r="H161" s="9" t="s">
        <v>125</v>
      </c>
      <c r="I161" s="8"/>
      <c r="K161" s="5" t="str">
        <f t="shared" si="19"/>
        <v>INSERT INTO m_code VALUES ('guitar_colors',9,'Gray','','グレー',0,0.0,'');</v>
      </c>
    </row>
    <row r="162" spans="2:11">
      <c r="B162" s="8" t="s">
        <v>1779</v>
      </c>
      <c r="C162" s="8" t="s">
        <v>1512</v>
      </c>
      <c r="D162" s="8"/>
      <c r="E162" s="8">
        <v>10</v>
      </c>
      <c r="F162" s="8" t="s">
        <v>1529</v>
      </c>
      <c r="G162" s="9">
        <v>0</v>
      </c>
      <c r="H162" s="9" t="s">
        <v>125</v>
      </c>
      <c r="I162" s="8"/>
      <c r="K162" s="5" t="str">
        <f t="shared" si="19"/>
        <v>INSERT INTO m_code VALUES ('guitar_colors',10,'Black','','ブラック',0,0.0,'');</v>
      </c>
    </row>
    <row r="163" spans="2:11">
      <c r="B163" s="8" t="s">
        <v>1779</v>
      </c>
      <c r="C163" s="8" t="s">
        <v>1513</v>
      </c>
      <c r="D163" s="8"/>
      <c r="E163" s="8">
        <v>11</v>
      </c>
      <c r="F163" s="8" t="s">
        <v>1530</v>
      </c>
      <c r="G163" s="9">
        <v>0</v>
      </c>
      <c r="H163" s="9" t="s">
        <v>125</v>
      </c>
      <c r="I163" s="8"/>
      <c r="K163" s="5" t="str">
        <f t="shared" si="19"/>
        <v>INSERT INTO m_code VALUES ('guitar_colors',11,'White','','ホワイト',0,0.0,'');</v>
      </c>
    </row>
    <row r="164" spans="2:11">
      <c r="B164" s="8" t="s">
        <v>1779</v>
      </c>
      <c r="C164" s="8" t="s">
        <v>1514</v>
      </c>
      <c r="D164" s="8"/>
      <c r="E164" s="8">
        <v>12</v>
      </c>
      <c r="F164" s="8" t="s">
        <v>1531</v>
      </c>
      <c r="G164" s="9">
        <v>0</v>
      </c>
      <c r="H164" s="9" t="s">
        <v>125</v>
      </c>
      <c r="I164" s="8"/>
      <c r="K164" s="5" t="str">
        <f t="shared" si="19"/>
        <v>INSERT INTO m_code VALUES ('guitar_colors',12,'Natural','','ナチュラル',0,0.0,'');</v>
      </c>
    </row>
    <row r="165" spans="2:11">
      <c r="B165" s="8" t="s">
        <v>1779</v>
      </c>
      <c r="C165" s="8" t="s">
        <v>1519</v>
      </c>
      <c r="D165" s="8"/>
      <c r="E165" s="8">
        <v>13</v>
      </c>
      <c r="F165" s="8" t="s">
        <v>1532</v>
      </c>
      <c r="G165" s="9">
        <v>0</v>
      </c>
      <c r="H165" s="9" t="s">
        <v>125</v>
      </c>
      <c r="I165" s="8"/>
      <c r="K165" s="5" t="str">
        <f t="shared" si="19"/>
        <v>INSERT INTO m_code VALUES ('guitar_colors',13,'Brown','','ブラウン',0,0.0,'');</v>
      </c>
    </row>
    <row r="166" spans="2:11">
      <c r="B166" s="8" t="s">
        <v>1779</v>
      </c>
      <c r="C166" s="8" t="s">
        <v>1515</v>
      </c>
      <c r="D166" s="8"/>
      <c r="E166" s="8">
        <v>14</v>
      </c>
      <c r="F166" s="8" t="s">
        <v>1533</v>
      </c>
      <c r="G166" s="9">
        <v>0</v>
      </c>
      <c r="H166" s="9" t="s">
        <v>125</v>
      </c>
      <c r="I166" s="8"/>
      <c r="K166" s="5" t="str">
        <f t="shared" si="19"/>
        <v>INSERT INTO m_code VALUES ('guitar_colors',14,'Gold','','ゴールド',0,0.0,'');</v>
      </c>
    </row>
    <row r="167" spans="2:11">
      <c r="B167" s="8" t="s">
        <v>1779</v>
      </c>
      <c r="C167" s="8" t="s">
        <v>1516</v>
      </c>
      <c r="D167" s="8"/>
      <c r="E167" s="8">
        <v>15</v>
      </c>
      <c r="F167" s="8" t="s">
        <v>1534</v>
      </c>
      <c r="G167" s="9">
        <v>0</v>
      </c>
      <c r="H167" s="9" t="s">
        <v>125</v>
      </c>
      <c r="I167" s="8"/>
      <c r="K167" s="5" t="str">
        <f t="shared" si="19"/>
        <v>INSERT INTO m_code VALUES ('guitar_colors',15,'Silver','','シルバー',0,0.0,'');</v>
      </c>
    </row>
    <row r="168" spans="2:11">
      <c r="B168" s="8" t="s">
        <v>1779</v>
      </c>
      <c r="C168" s="8" t="s">
        <v>1517</v>
      </c>
      <c r="D168" s="8"/>
      <c r="E168" s="8">
        <v>99</v>
      </c>
      <c r="F168" s="8" t="s">
        <v>1535</v>
      </c>
      <c r="G168" s="9">
        <v>0</v>
      </c>
      <c r="H168" s="9" t="s">
        <v>125</v>
      </c>
      <c r="I168" s="8"/>
      <c r="K168" s="5" t="str">
        <f t="shared" si="19"/>
        <v>INSERT INTO m_code VALUES ('guitar_colors',99,'Others','','その他',0,0.0,'');</v>
      </c>
    </row>
    <row r="169" spans="2:11">
      <c r="B169" s="6" t="s">
        <v>1888</v>
      </c>
      <c r="C169" s="6" t="s">
        <v>1889</v>
      </c>
      <c r="D169" s="6" t="s">
        <v>1117</v>
      </c>
      <c r="E169" s="7" t="s">
        <v>123</v>
      </c>
      <c r="F169" s="6" t="s">
        <v>120</v>
      </c>
      <c r="G169" s="6" t="s">
        <v>121</v>
      </c>
      <c r="H169" s="6" t="s">
        <v>122</v>
      </c>
      <c r="I169" s="6" t="s">
        <v>133</v>
      </c>
    </row>
    <row r="170" spans="2:11">
      <c r="B170" s="8" t="s">
        <v>1892</v>
      </c>
      <c r="C170" s="8" t="s">
        <v>1890</v>
      </c>
      <c r="D170" s="8"/>
      <c r="E170" s="8">
        <v>1</v>
      </c>
      <c r="F170" s="8"/>
      <c r="G170" s="9">
        <v>0</v>
      </c>
      <c r="H170" s="9" t="s">
        <v>125</v>
      </c>
      <c r="I170" s="8" t="s">
        <v>1893</v>
      </c>
      <c r="K170" s="5" t="str">
        <f t="shared" si="19"/>
        <v>INSERT INTO m_code VALUES ('batch_status',1,'SUCCESS','','',0,0.0,'処理成功');</v>
      </c>
    </row>
    <row r="171" spans="2:11">
      <c r="B171" s="8" t="s">
        <v>1892</v>
      </c>
      <c r="C171" s="8" t="s">
        <v>1891</v>
      </c>
      <c r="D171" s="8"/>
      <c r="E171" s="8">
        <v>2</v>
      </c>
      <c r="F171" s="8"/>
      <c r="G171" s="9">
        <v>0</v>
      </c>
      <c r="H171" s="9" t="s">
        <v>125</v>
      </c>
      <c r="I171" s="8" t="s">
        <v>1894</v>
      </c>
      <c r="K171" s="5" t="str">
        <f t="shared" si="19"/>
        <v>INSERT INTO m_code VALUES ('batch_status',2,'STARTED','','',0,0.0,'処理開始。いずかのステータスに遷移する。');</v>
      </c>
    </row>
    <row r="172" spans="2:11">
      <c r="B172" s="8" t="s">
        <v>1892</v>
      </c>
      <c r="C172" s="8" t="s">
        <v>1881</v>
      </c>
      <c r="D172" s="8"/>
      <c r="E172" s="8">
        <v>3</v>
      </c>
      <c r="F172" s="8"/>
      <c r="G172" s="9">
        <v>0</v>
      </c>
      <c r="H172" s="9" t="s">
        <v>125</v>
      </c>
      <c r="I172" s="8" t="s">
        <v>1895</v>
      </c>
      <c r="K172" s="5" t="str">
        <f t="shared" si="19"/>
        <v>INSERT INTO m_code VALUES ('batch_status',3,'NOT_STARTED','','',0,0.0,'予定時刻に開始されていない。');</v>
      </c>
    </row>
    <row r="173" spans="2:11">
      <c r="B173" s="8" t="s">
        <v>1892</v>
      </c>
      <c r="C173" s="8" t="s">
        <v>1879</v>
      </c>
      <c r="D173" s="8"/>
      <c r="E173" s="8">
        <v>4</v>
      </c>
      <c r="F173" s="8"/>
      <c r="G173" s="9">
        <v>0</v>
      </c>
      <c r="H173" s="9" t="s">
        <v>125</v>
      </c>
      <c r="I173" s="8" t="s">
        <v>1896</v>
      </c>
      <c r="K173" s="5" t="str">
        <f t="shared" si="19"/>
        <v>INSERT INTO m_code VALUES ('batch_status',4,'ERROR','','',0,0.0,'例外、パニック等が発生した。');</v>
      </c>
    </row>
    <row r="174" spans="2:11">
      <c r="B174" s="8" t="s">
        <v>1892</v>
      </c>
      <c r="C174" s="8" t="s">
        <v>1882</v>
      </c>
      <c r="D174" s="8"/>
      <c r="E174" s="8">
        <v>5</v>
      </c>
      <c r="F174" s="8"/>
      <c r="G174" s="9">
        <v>0</v>
      </c>
      <c r="H174" s="9" t="s">
        <v>125</v>
      </c>
      <c r="I174" s="8" t="s">
        <v>1898</v>
      </c>
      <c r="K174" s="5" t="str">
        <f t="shared" si="19"/>
        <v>INSERT INTO m_code VALUES ('batch_status',5,'SLOW','','',0,0.0,'想定時間内に処理が終了しなかった。');</v>
      </c>
    </row>
    <row r="175" spans="2:11">
      <c r="B175" s="8" t="s">
        <v>1892</v>
      </c>
      <c r="C175" s="8" t="s">
        <v>1880</v>
      </c>
      <c r="D175" s="8"/>
      <c r="E175" s="8">
        <v>6</v>
      </c>
      <c r="F175" s="8"/>
      <c r="G175" s="9">
        <v>0</v>
      </c>
      <c r="H175" s="9" t="s">
        <v>125</v>
      </c>
      <c r="I175" s="8" t="s">
        <v>1897</v>
      </c>
      <c r="K175" s="5" t="str">
        <f t="shared" si="19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("&amp;"'"&amp;B6&amp;"'"&amp;","&amp;"'"&amp;C6&amp;"'"&amp;","&amp;VLOOKUP(D6,コード!$C$48:$I$115,3,FALSE)&amp;","&amp;E6&amp;","&amp;F6&amp;","&amp;G6&amp;","&amp;H6&amp;","&amp;VLOOKUP(I6,コード!$C$5:$I$11,3,FALSE)&amp;");"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("&amp;"'"&amp;B7&amp;"'"&amp;","&amp;"'"&amp;C7&amp;"'"&amp;","&amp;VLOOKUP(D7,コード!$C$48:$I$115,3,FALSE)&amp;","&amp;E7&amp;","&amp;F7&amp;","&amp;G7&amp;","&amp;H7&amp;","&amp;VLOOKUP(I7,コード!$C$5:$I$11,3,FALSE)&amp;");"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("&amp;"'"&amp;B8&amp;"'"&amp;","&amp;"'"&amp;C8&amp;"'"&amp;","&amp;VLOOKUP(D8,コード!$C$48:$I$115,3,FALSE)&amp;","&amp;E8&amp;","&amp;F8&amp;","&amp;G8&amp;","&amp;H8&amp;","&amp;VLOOKUP(I8,コード!$C$5:$I$11,3,FALSE)&amp;");"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("&amp;"'"&amp;B9&amp;"'"&amp;","&amp;"'"&amp;C9&amp;"'"&amp;","&amp;VLOOKUP(D9,コード!$C$48:$I$115,3,FALSE)&amp;","&amp;E9&amp;","&amp;F9&amp;","&amp;G9&amp;","&amp;H9&amp;","&amp;VLOOKUP(I9,コード!$C$5:$I$11,3,FALSE)&amp;");"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("&amp;"'"&amp;B10&amp;"'"&amp;","&amp;"'"&amp;C10&amp;"'"&amp;","&amp;VLOOKUP(D10,コード!$C$48:$I$115,3,FALSE)&amp;","&amp;E10&amp;","&amp;F10&amp;","&amp;G10&amp;","&amp;H10&amp;","&amp;VLOOKUP(I10,コード!$C$5:$I$11,3,FALSE)&amp;");"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("&amp;"'"&amp;B11&amp;"'"&amp;","&amp;"'"&amp;C11&amp;"'"&amp;","&amp;VLOOKUP(D11,コード!$C$48:$I$115,3,FALSE)&amp;","&amp;E11&amp;","&amp;F11&amp;","&amp;G11&amp;","&amp;H11&amp;","&amp;VLOOKUP(I11,コード!$C$5:$I$11,3,FALSE)&amp;");"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("&amp;"'"&amp;B12&amp;"'"&amp;","&amp;"'"&amp;C12&amp;"'"&amp;","&amp;VLOOKUP(D12,コード!$C$48:$I$115,3,FALSE)&amp;","&amp;E12&amp;","&amp;F12&amp;","&amp;G12&amp;","&amp;H12&amp;","&amp;VLOOKUP(I12,コード!$C$5:$I$11,3,FALSE)&amp;");"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("&amp;"'"&amp;B13&amp;"'"&amp;","&amp;"'"&amp;C13&amp;"'"&amp;","&amp;VLOOKUP(D13,コード!$C$48:$I$115,3,FALSE)&amp;","&amp;E13&amp;","&amp;F13&amp;","&amp;G13&amp;","&amp;H13&amp;","&amp;VLOOKUP(I13,コード!$C$5:$I$11,3,FALSE)&amp;");"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("&amp;"'"&amp;B14&amp;"'"&amp;","&amp;"'"&amp;C14&amp;"'"&amp;","&amp;VLOOKUP(D14,コード!$C$48:$I$115,3,FALSE)&amp;","&amp;E14&amp;","&amp;F14&amp;","&amp;G14&amp;","&amp;H14&amp;","&amp;VLOOKUP(I14,コード!$C$5:$I$11,3,FALSE)&amp;");"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("&amp;"'"&amp;B15&amp;"'"&amp;","&amp;"'"&amp;C15&amp;"'"&amp;","&amp;VLOOKUP(D15,コード!$C$48:$I$115,3,FALSE)&amp;","&amp;E15&amp;","&amp;F15&amp;","&amp;G15&amp;","&amp;H15&amp;","&amp;VLOOKUP(I15,コード!$C$5:$I$11,3,FALSE)&amp;");"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("&amp;"'"&amp;B16&amp;"'"&amp;","&amp;"'"&amp;C16&amp;"'"&amp;","&amp;VLOOKUP(D16,コード!$C$48:$I$115,3,FALSE)&amp;","&amp;E16&amp;","&amp;F16&amp;","&amp;G16&amp;","&amp;H16&amp;","&amp;VLOOKUP(I16,コード!$C$5:$I$11,3,FALSE)&amp;");"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("&amp;"'"&amp;B17&amp;"'"&amp;","&amp;"'"&amp;C17&amp;"'"&amp;","&amp;VLOOKUP(D17,コード!$C$48:$I$115,3,FALSE)&amp;","&amp;E17&amp;","&amp;F17&amp;","&amp;G17&amp;","&amp;H17&amp;","&amp;VLOOKUP(I17,コード!$C$5:$I$11,3,FALSE)&amp;");"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("&amp;"'"&amp;B18&amp;"'"&amp;","&amp;"'"&amp;C18&amp;"'"&amp;","&amp;VLOOKUP(D18,コード!$C$48:$I$115,3,FALSE)&amp;","&amp;E18&amp;","&amp;F18&amp;","&amp;G18&amp;","&amp;H18&amp;","&amp;VLOOKUP(I18,コード!$C$5:$I$11,3,FALSE)&amp;");"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("&amp;"'"&amp;B19&amp;"'"&amp;","&amp;"'"&amp;C19&amp;"'"&amp;","&amp;VLOOKUP(D19,コード!$C$48:$I$115,3,FALSE)&amp;","&amp;E19&amp;","&amp;F19&amp;","&amp;G19&amp;","&amp;H19&amp;","&amp;VLOOKUP(I19,コード!$C$5:$I$11,3,FALSE)&amp;");"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("&amp;"'"&amp;B20&amp;"'"&amp;","&amp;"'"&amp;C20&amp;"'"&amp;","&amp;VLOOKUP(D20,コード!$C$48:$I$115,3,FALSE)&amp;","&amp;E20&amp;","&amp;F20&amp;","&amp;G20&amp;","&amp;H20&amp;","&amp;VLOOKUP(I20,コード!$C$5:$I$11,3,FALSE)&amp;");"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("&amp;"'"&amp;B21&amp;"'"&amp;","&amp;"'"&amp;C21&amp;"'"&amp;","&amp;VLOOKUP(D21,コード!$C$48:$I$115,3,FALSE)&amp;","&amp;E21&amp;","&amp;F21&amp;","&amp;G21&amp;","&amp;H21&amp;","&amp;VLOOKUP(I21,コード!$C$5:$I$11,3,FALSE)&amp;");"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("&amp;"'"&amp;B22&amp;"'"&amp;","&amp;"'"&amp;C22&amp;"'"&amp;","&amp;VLOOKUP(D22,コード!$C$48:$I$115,3,FALSE)&amp;","&amp;E22&amp;","&amp;F22&amp;","&amp;G22&amp;","&amp;H22&amp;","&amp;VLOOKUP(I22,コード!$C$5:$I$11,3,FALSE)&amp;");"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("&amp;"'"&amp;B23&amp;"'"&amp;","&amp;"'"&amp;C23&amp;"'"&amp;","&amp;VLOOKUP(D23,コード!$C$48:$I$115,3,FALSE)&amp;","&amp;E23&amp;","&amp;F23&amp;","&amp;G23&amp;","&amp;H23&amp;","&amp;VLOOKUP(I23,コード!$C$5:$I$11,3,FALSE)&amp;");"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("&amp;"'"&amp;B24&amp;"'"&amp;","&amp;"'"&amp;C24&amp;"'"&amp;","&amp;VLOOKUP(D24,コード!$C$48:$I$115,3,FALSE)&amp;","&amp;E24&amp;","&amp;F24&amp;","&amp;G24&amp;","&amp;H24&amp;","&amp;VLOOKUP(I24,コード!$C$5:$I$11,3,FALSE)&amp;");"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("&amp;"'"&amp;B25&amp;"'"&amp;","&amp;"'"&amp;C25&amp;"'"&amp;","&amp;VLOOKUP(D25,コード!$C$48:$I$115,3,FALSE)&amp;","&amp;E25&amp;","&amp;F25&amp;","&amp;G25&amp;","&amp;H25&amp;","&amp;VLOOKUP(I25,コード!$C$5:$I$11,3,FALSE)&amp;");"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("&amp;"'"&amp;B26&amp;"'"&amp;","&amp;"'"&amp;C26&amp;"'"&amp;","&amp;VLOOKUP(D26,コード!$C$48:$I$115,3,FALSE)&amp;","&amp;E26&amp;","&amp;F26&amp;","&amp;G26&amp;","&amp;H26&amp;","&amp;VLOOKUP(I26,コード!$C$5:$I$11,3,FALSE)&amp;");"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("&amp;"'"&amp;B27&amp;"'"&amp;","&amp;"'"&amp;C27&amp;"'"&amp;","&amp;VLOOKUP(D27,コード!$C$48:$I$115,3,FALSE)&amp;","&amp;E27&amp;","&amp;F27&amp;","&amp;G27&amp;","&amp;H27&amp;","&amp;VLOOKUP(I27,コード!$C$5:$I$11,3,FALSE)&amp;");"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("&amp;"'"&amp;B28&amp;"'"&amp;","&amp;"'"&amp;C28&amp;"'"&amp;","&amp;VLOOKUP(D28,コード!$C$48:$I$115,3,FALSE)&amp;","&amp;E28&amp;","&amp;F28&amp;","&amp;G28&amp;","&amp;H28&amp;","&amp;VLOOKUP(I28,コード!$C$5:$I$11,3,FALSE)&amp;");"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("&amp;"'"&amp;B29&amp;"'"&amp;","&amp;"'"&amp;C29&amp;"'"&amp;","&amp;VLOOKUP(D29,コード!$C$48:$I$115,3,FALSE)&amp;","&amp;E29&amp;","&amp;F29&amp;","&amp;G29&amp;","&amp;H29&amp;","&amp;VLOOKUP(I29,コード!$C$5:$I$11,3,FALSE)&amp;");"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("&amp;"'"&amp;B30&amp;"'"&amp;","&amp;"'"&amp;C30&amp;"'"&amp;","&amp;VLOOKUP(D30,コード!$C$48:$I$115,3,FALSE)&amp;","&amp;E30&amp;","&amp;F30&amp;","&amp;G30&amp;","&amp;H30&amp;","&amp;VLOOKUP(I30,コード!$C$5:$I$11,3,FALSE)&amp;");"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("&amp;"'"&amp;B31&amp;"'"&amp;","&amp;"'"&amp;C31&amp;"'"&amp;","&amp;VLOOKUP(D31,コード!$C$48:$I$115,3,FALSE)&amp;","&amp;E31&amp;","&amp;F31&amp;","&amp;G31&amp;","&amp;H31&amp;","&amp;VLOOKUP(I31,コード!$C$5:$I$11,3,FALSE)&amp;");"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("&amp;"'"&amp;B32&amp;"'"&amp;","&amp;"'"&amp;C32&amp;"'"&amp;","&amp;VLOOKUP(D32,コード!$C$48:$I$115,3,FALSE)&amp;","&amp;E32&amp;","&amp;F32&amp;","&amp;G32&amp;","&amp;H32&amp;","&amp;VLOOKUP(I32,コード!$C$5:$I$11,3,FALSE)&amp;");"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("&amp;"'"&amp;B33&amp;"'"&amp;","&amp;"'"&amp;C33&amp;"'"&amp;","&amp;VLOOKUP(D33,コード!$C$48:$I$115,3,FALSE)&amp;","&amp;E33&amp;","&amp;F33&amp;","&amp;G33&amp;","&amp;H33&amp;","&amp;VLOOKUP(I33,コード!$C$5:$I$11,3,FALSE)&amp;");"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("&amp;"'"&amp;B34&amp;"'"&amp;","&amp;"'"&amp;C34&amp;"'"&amp;","&amp;VLOOKUP(D34,コード!$C$48:$I$115,3,FALSE)&amp;","&amp;E34&amp;","&amp;F34&amp;","&amp;G34&amp;","&amp;H34&amp;","&amp;VLOOKUP(I34,コード!$C$5:$I$11,3,FALSE)&amp;");"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("&amp;"'"&amp;B35&amp;"'"&amp;","&amp;"'"&amp;C35&amp;"'"&amp;","&amp;VLOOKUP(D35,コード!$C$48:$I$115,3,FALSE)&amp;","&amp;E35&amp;","&amp;F35&amp;","&amp;G35&amp;","&amp;H35&amp;","&amp;VLOOKUP(I35,コード!$C$5:$I$11,3,FALSE)&amp;");"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("&amp;"'"&amp;B36&amp;"'"&amp;","&amp;"'"&amp;C36&amp;"'"&amp;","&amp;VLOOKUP(D36,コード!$C$48:$I$115,3,FALSE)&amp;","&amp;E36&amp;","&amp;F36&amp;","&amp;G36&amp;","&amp;H36&amp;","&amp;VLOOKUP(I36,コード!$C$5:$I$11,3,FALSE)&amp;");"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("&amp;"'"&amp;B37&amp;"'"&amp;","&amp;"'"&amp;C37&amp;"'"&amp;","&amp;VLOOKUP(D37,コード!$C$48:$I$115,3,FALSE)&amp;","&amp;E37&amp;","&amp;F37&amp;","&amp;G37&amp;","&amp;H37&amp;","&amp;VLOOKUP(I37,コード!$C$5:$I$11,3,FALSE)&amp;");"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("&amp;"'"&amp;B38&amp;"'"&amp;","&amp;"'"&amp;C38&amp;"'"&amp;","&amp;VLOOKUP(D38,コード!$C$48:$I$115,3,FALSE)&amp;","&amp;E38&amp;","&amp;F38&amp;","&amp;G38&amp;","&amp;H38&amp;","&amp;VLOOKUP(I38,コード!$C$5:$I$11,3,FALSE)&amp;");"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("&amp;"'"&amp;B39&amp;"'"&amp;","&amp;"'"&amp;C39&amp;"'"&amp;","&amp;VLOOKUP(D39,コード!$C$48:$I$115,3,FALSE)&amp;","&amp;E39&amp;","&amp;F39&amp;","&amp;G39&amp;","&amp;H39&amp;","&amp;VLOOKUP(I39,コード!$C$5:$I$11,3,FALSE)&amp;");"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("&amp;"'"&amp;B40&amp;"'"&amp;","&amp;"'"&amp;C40&amp;"'"&amp;","&amp;VLOOKUP(D40,コード!$C$48:$I$115,3,FALSE)&amp;","&amp;E40&amp;","&amp;F40&amp;","&amp;G40&amp;","&amp;H40&amp;","&amp;VLOOKUP(I40,コード!$C$5:$I$11,3,FALSE)&amp;");"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("&amp;"'"&amp;B41&amp;"'"&amp;","&amp;"'"&amp;C41&amp;"'"&amp;","&amp;VLOOKUP(D41,コード!$C$48:$I$115,3,FALSE)&amp;","&amp;E41&amp;","&amp;F41&amp;","&amp;G41&amp;","&amp;H41&amp;","&amp;VLOOKUP(I41,コード!$C$5:$I$11,3,FALSE)&amp;");"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("&amp;"'"&amp;B42&amp;"'"&amp;","&amp;"'"&amp;C42&amp;"'"&amp;","&amp;VLOOKUP(D42,コード!$C$48:$I$115,3,FALSE)&amp;","&amp;E42&amp;","&amp;F42&amp;","&amp;G42&amp;","&amp;H42&amp;","&amp;VLOOKUP(I42,コード!$C$5:$I$11,3,FALSE)&amp;");"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("&amp;"'"&amp;B43&amp;"'"&amp;","&amp;"'"&amp;C43&amp;"'"&amp;","&amp;VLOOKUP(D43,コード!$C$48:$I$115,3,FALSE)&amp;","&amp;E43&amp;","&amp;F43&amp;","&amp;G43&amp;","&amp;H43&amp;","&amp;VLOOKUP(I43,コード!$C$5:$I$11,3,FALSE)&amp;");"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("&amp;"'"&amp;B44&amp;"'"&amp;","&amp;"'"&amp;C44&amp;"'"&amp;","&amp;VLOOKUP(D44,コード!$C$48:$I$115,3,FALSE)&amp;","&amp;E44&amp;","&amp;F44&amp;","&amp;G44&amp;","&amp;H44&amp;","&amp;VLOOKUP(I44,コード!$C$5:$I$11,3,FALSE)&amp;");"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("&amp;"'"&amp;B45&amp;"'"&amp;","&amp;"'"&amp;C45&amp;"'"&amp;","&amp;VLOOKUP(D45,コード!$C$48:$I$115,3,FALSE)&amp;","&amp;E45&amp;","&amp;F45&amp;","&amp;G45&amp;","&amp;H45&amp;","&amp;VLOOKUP(I45,コード!$C$5:$I$11,3,FALSE)&amp;");"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("&amp;"'"&amp;B46&amp;"'"&amp;","&amp;"'"&amp;C46&amp;"'"&amp;","&amp;VLOOKUP(D46,コード!$C$48:$I$115,3,FALSE)&amp;","&amp;E46&amp;","&amp;F46&amp;","&amp;G46&amp;","&amp;H46&amp;","&amp;VLOOKUP(I46,コード!$C$5:$I$11,3,FALSE)&amp;");"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("&amp;"'"&amp;B47&amp;"'"&amp;","&amp;"'"&amp;C47&amp;"'"&amp;","&amp;VLOOKUP(D47,コード!$C$48:$I$115,3,FALSE)&amp;","&amp;E47&amp;","&amp;F47&amp;","&amp;G47&amp;","&amp;H47&amp;","&amp;VLOOKUP(I47,コード!$C$5:$I$11,3,FALSE)&amp;");"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("&amp;"'"&amp;B48&amp;"'"&amp;","&amp;"'"&amp;C48&amp;"'"&amp;","&amp;VLOOKUP(D48,コード!$C$48:$I$115,3,FALSE)&amp;","&amp;E48&amp;","&amp;F48&amp;","&amp;G48&amp;","&amp;H48&amp;","&amp;VLOOKUP(I48,コード!$C$5:$I$11,3,FALSE)&amp;");"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("&amp;"'"&amp;B49&amp;"'"&amp;","&amp;"'"&amp;C49&amp;"'"&amp;","&amp;VLOOKUP(D49,コード!$C$48:$I$115,3,FALSE)&amp;","&amp;E49&amp;","&amp;F49&amp;","&amp;G49&amp;","&amp;H49&amp;","&amp;VLOOKUP(I49,コード!$C$5:$I$11,3,FALSE)&amp;");"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("&amp;"'"&amp;B50&amp;"'"&amp;","&amp;"'"&amp;C50&amp;"'"&amp;","&amp;VLOOKUP(D50,コード!$C$48:$I$115,3,FALSE)&amp;","&amp;E50&amp;","&amp;F50&amp;","&amp;G50&amp;","&amp;H50&amp;","&amp;VLOOKUP(I50,コード!$C$5:$I$11,3,FALSE)&amp;");"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("&amp;"'"&amp;B51&amp;"'"&amp;","&amp;"'"&amp;C51&amp;"'"&amp;","&amp;VLOOKUP(D51,コード!$C$48:$I$115,3,FALSE)&amp;","&amp;E51&amp;","&amp;F51&amp;","&amp;G51&amp;","&amp;H51&amp;","&amp;VLOOKUP(I51,コード!$C$5:$I$11,3,FALSE)&amp;");"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("&amp;"'"&amp;B52&amp;"'"&amp;","&amp;"'"&amp;C52&amp;"'"&amp;","&amp;VLOOKUP(D52,コード!$C$48:$I$115,3,FALSE)&amp;","&amp;E52&amp;","&amp;F52&amp;","&amp;G52&amp;","&amp;H52&amp;","&amp;VLOOKUP(I52,コード!$C$5:$I$11,3,FALSE)&amp;");"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("&amp;"'"&amp;B53&amp;"'"&amp;","&amp;"'"&amp;C53&amp;"'"&amp;","&amp;VLOOKUP(D53,コード!$C$48:$I$115,3,FALSE)&amp;","&amp;E53&amp;","&amp;F53&amp;","&amp;G53&amp;","&amp;H53&amp;","&amp;VLOOKUP(I53,コード!$C$5:$I$11,3,FALSE)&amp;");"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("&amp;"'"&amp;B54&amp;"'"&amp;","&amp;"'"&amp;C54&amp;"'"&amp;","&amp;VLOOKUP(D54,コード!$C$48:$I$115,3,FALSE)&amp;","&amp;E54&amp;","&amp;F54&amp;","&amp;G54&amp;","&amp;H54&amp;","&amp;VLOOKUP(I54,コード!$C$5:$I$11,3,FALSE)&amp;");"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("&amp;"'"&amp;B55&amp;"'"&amp;","&amp;"'"&amp;C55&amp;"'"&amp;","&amp;VLOOKUP(D55,コード!$C$48:$I$115,3,FALSE)&amp;","&amp;E55&amp;","&amp;F55&amp;","&amp;G55&amp;","&amp;H55&amp;","&amp;VLOOKUP(I55,コード!$C$5:$I$11,3,FALSE)&amp;");"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("&amp;"'"&amp;B56&amp;"'"&amp;","&amp;"'"&amp;C56&amp;"'"&amp;","&amp;VLOOKUP(D56,コード!$C$48:$I$115,3,FALSE)&amp;","&amp;E56&amp;","&amp;F56&amp;","&amp;G56&amp;","&amp;H56&amp;","&amp;VLOOKUP(I56,コード!$C$5:$I$11,3,FALSE)&amp;");"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("&amp;"'"&amp;B57&amp;"'"&amp;","&amp;"'"&amp;C57&amp;"'"&amp;","&amp;VLOOKUP(D57,コード!$C$48:$I$115,3,FALSE)&amp;","&amp;E57&amp;","&amp;F57&amp;","&amp;G57&amp;","&amp;H57&amp;","&amp;VLOOKUP(I57,コード!$C$5:$I$11,3,FALSE)&amp;");"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("&amp;"'"&amp;B58&amp;"'"&amp;","&amp;"'"&amp;C58&amp;"'"&amp;","&amp;VLOOKUP(D58,コード!$C$48:$I$115,3,FALSE)&amp;","&amp;E58&amp;","&amp;F58&amp;","&amp;G58&amp;","&amp;H58&amp;","&amp;VLOOKUP(I58,コード!$C$5:$I$11,3,FALSE)&amp;");"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("&amp;"'"&amp;B59&amp;"'"&amp;","&amp;"'"&amp;C59&amp;"'"&amp;","&amp;VLOOKUP(D59,コード!$C$48:$I$115,3,FALSE)&amp;","&amp;E59&amp;","&amp;F59&amp;","&amp;G59&amp;","&amp;H59&amp;","&amp;VLOOKUP(I59,コード!$C$5:$I$11,3,FALSE)&amp;");"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("&amp;"'"&amp;B60&amp;"'"&amp;","&amp;"'"&amp;C60&amp;"'"&amp;","&amp;VLOOKUP(D60,コード!$C$48:$I$115,3,FALSE)&amp;","&amp;E60&amp;","&amp;F60&amp;","&amp;G60&amp;","&amp;H60&amp;","&amp;VLOOKUP(I60,コード!$C$5:$I$11,3,FALSE)&amp;");"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("&amp;"'"&amp;B61&amp;"'"&amp;","&amp;"'"&amp;C61&amp;"'"&amp;","&amp;VLOOKUP(D61,コード!$C$48:$I$115,3,FALSE)&amp;","&amp;E61&amp;","&amp;F61&amp;","&amp;G61&amp;","&amp;H61&amp;","&amp;VLOOKUP(I61,コード!$C$5:$I$11,3,FALSE)&amp;");"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("&amp;"'"&amp;B62&amp;"'"&amp;","&amp;"'"&amp;C62&amp;"'"&amp;","&amp;VLOOKUP(D62,コード!$C$48:$I$115,3,FALSE)&amp;","&amp;E62&amp;","&amp;F62&amp;","&amp;G62&amp;","&amp;H62&amp;","&amp;VLOOKUP(I62,コード!$C$5:$I$11,3,FALSE)&amp;");"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("&amp;"'"&amp;B63&amp;"'"&amp;","&amp;"'"&amp;C63&amp;"'"&amp;","&amp;VLOOKUP(D63,コード!$C$48:$I$115,3,FALSE)&amp;","&amp;E63&amp;","&amp;F63&amp;","&amp;G63&amp;","&amp;H63&amp;","&amp;VLOOKUP(I63,コード!$C$5:$I$11,3,FALSE)&amp;");"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("&amp;"'"&amp;B64&amp;"'"&amp;","&amp;"'"&amp;C64&amp;"'"&amp;","&amp;VLOOKUP(D64,コード!$C$48:$I$115,3,FALSE)&amp;","&amp;E64&amp;","&amp;F64&amp;","&amp;G64&amp;","&amp;H64&amp;","&amp;VLOOKUP(I64,コード!$C$5:$I$11,3,FALSE)&amp;");"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("&amp;"'"&amp;B65&amp;"'"&amp;","&amp;"'"&amp;C65&amp;"'"&amp;","&amp;VLOOKUP(D65,コード!$C$48:$I$115,3,FALSE)&amp;","&amp;E65&amp;","&amp;F65&amp;","&amp;G65&amp;","&amp;H65&amp;","&amp;VLOOKUP(I65,コード!$C$5:$I$11,3,FALSE)&amp;");"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("&amp;"'"&amp;B66&amp;"'"&amp;","&amp;"'"&amp;C66&amp;"'"&amp;","&amp;VLOOKUP(D66,コード!$C$48:$I$115,3,FALSE)&amp;","&amp;E66&amp;","&amp;F66&amp;","&amp;G66&amp;","&amp;H66&amp;","&amp;VLOOKUP(I66,コード!$C$5:$I$11,3,FALSE)&amp;");"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("&amp;"'"&amp;B67&amp;"'"&amp;","&amp;"'"&amp;C67&amp;"'"&amp;","&amp;VLOOKUP(D67,コード!$C$48:$I$115,3,FALSE)&amp;","&amp;E67&amp;","&amp;F67&amp;","&amp;G67&amp;","&amp;H67&amp;","&amp;VLOOKUP(I67,コード!$C$5:$I$11,3,FALSE)&amp;");"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("&amp;"'"&amp;B68&amp;"'"&amp;","&amp;"'"&amp;C68&amp;"'"&amp;","&amp;VLOOKUP(D68,コード!$C$48:$I$115,3,FALSE)&amp;","&amp;E68&amp;","&amp;F68&amp;","&amp;G68&amp;","&amp;H68&amp;","&amp;VLOOKUP(I68,コード!$C$5:$I$11,3,FALSE)&amp;");"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("&amp;"'"&amp;B69&amp;"'"&amp;","&amp;"'"&amp;C69&amp;"'"&amp;","&amp;VLOOKUP(D69,コード!$C$48:$I$115,3,FALSE)&amp;","&amp;E69&amp;","&amp;F69&amp;","&amp;G69&amp;","&amp;H69&amp;","&amp;VLOOKUP(I69,コード!$C$5:$I$11,3,FALSE)&amp;");"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("&amp;"'"&amp;B70&amp;"'"&amp;","&amp;"'"&amp;C70&amp;"'"&amp;","&amp;VLOOKUP(D70,コード!$C$48:$I$115,3,FALSE)&amp;","&amp;E70&amp;","&amp;F70&amp;","&amp;G70&amp;","&amp;H70&amp;","&amp;VLOOKUP(I70,コード!$C$5:$I$11,3,FALSE)&amp;");"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("&amp;"'"&amp;B71&amp;"'"&amp;","&amp;"'"&amp;C71&amp;"'"&amp;","&amp;VLOOKUP(D71,コード!$C$48:$I$115,3,FALSE)&amp;","&amp;E71&amp;","&amp;F71&amp;","&amp;G71&amp;","&amp;H71&amp;","&amp;VLOOKUP(I71,コード!$C$5:$I$11,3,FALSE)&amp;");"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("&amp;"'"&amp;B72&amp;"'"&amp;","&amp;"'"&amp;C72&amp;"'"&amp;","&amp;VLOOKUP(D72,コード!$C$48:$I$115,3,FALSE)&amp;","&amp;E72&amp;","&amp;F72&amp;","&amp;G72&amp;","&amp;H72&amp;","&amp;VLOOKUP(I72,コード!$C$5:$I$11,3,FALSE)&amp;");"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("&amp;"'"&amp;B73&amp;"'"&amp;","&amp;"'"&amp;C73&amp;"'"&amp;","&amp;VLOOKUP(D73,コード!$C$48:$I$115,3,FALSE)&amp;","&amp;E73&amp;","&amp;F73&amp;","&amp;G73&amp;","&amp;H73&amp;","&amp;VLOOKUP(I73,コード!$C$5:$I$11,3,FALSE)&amp;");"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("&amp;"'"&amp;B74&amp;"'"&amp;","&amp;"'"&amp;C74&amp;"'"&amp;","&amp;VLOOKUP(D74,コード!$C$48:$I$115,3,FALSE)&amp;","&amp;E74&amp;","&amp;F74&amp;","&amp;G74&amp;","&amp;H74&amp;","&amp;VLOOKUP(I74,コード!$C$5:$I$11,3,FALSE)&amp;");"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("&amp;"'"&amp;B75&amp;"'"&amp;","&amp;"'"&amp;C75&amp;"'"&amp;","&amp;VLOOKUP(D75,コード!$C$48:$I$115,3,FALSE)&amp;","&amp;E75&amp;","&amp;F75&amp;","&amp;G75&amp;","&amp;H75&amp;","&amp;VLOOKUP(I75,コード!$C$5:$I$11,3,FALSE)&amp;");"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("&amp;"'"&amp;B76&amp;"'"&amp;","&amp;"'"&amp;C76&amp;"'"&amp;","&amp;VLOOKUP(D76,コード!$C$48:$I$115,3,FALSE)&amp;","&amp;E76&amp;","&amp;F76&amp;","&amp;G76&amp;","&amp;H76&amp;","&amp;VLOOKUP(I76,コード!$C$5:$I$11,3,FALSE)&amp;");"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("&amp;"'"&amp;B77&amp;"'"&amp;","&amp;"'"&amp;C77&amp;"'"&amp;","&amp;VLOOKUP(D77,コード!$C$48:$I$115,3,FALSE)&amp;","&amp;E77&amp;","&amp;F77&amp;","&amp;G77&amp;","&amp;H77&amp;","&amp;VLOOKUP(I77,コード!$C$5:$I$11,3,FALSE)&amp;");"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("&amp;"'"&amp;B78&amp;"'"&amp;","&amp;"'"&amp;C78&amp;"'"&amp;","&amp;VLOOKUP(D78,コード!$C$48:$I$115,3,FALSE)&amp;","&amp;E78&amp;","&amp;F78&amp;","&amp;G78&amp;","&amp;H78&amp;","&amp;VLOOKUP(I78,コード!$C$5:$I$11,3,FALSE)&amp;");"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("&amp;"'"&amp;B79&amp;"'"&amp;","&amp;"'"&amp;C79&amp;"'"&amp;","&amp;VLOOKUP(D79,コード!$C$48:$I$115,3,FALSE)&amp;","&amp;E79&amp;","&amp;F79&amp;","&amp;G79&amp;","&amp;H79&amp;","&amp;VLOOKUP(I79,コード!$C$5:$I$11,3,FALSE)&amp;");"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("&amp;"'"&amp;B80&amp;"'"&amp;","&amp;"'"&amp;C80&amp;"'"&amp;","&amp;VLOOKUP(D80,コード!$C$48:$I$115,3,FALSE)&amp;","&amp;E80&amp;","&amp;F80&amp;","&amp;G80&amp;","&amp;H80&amp;","&amp;VLOOKUP(I80,コード!$C$5:$I$11,3,FALSE)&amp;");"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("&amp;"'"&amp;B81&amp;"'"&amp;","&amp;"'"&amp;C81&amp;"'"&amp;","&amp;VLOOKUP(D81,コード!$C$48:$I$115,3,FALSE)&amp;","&amp;E81&amp;","&amp;F81&amp;","&amp;G81&amp;","&amp;H81&amp;","&amp;VLOOKUP(I81,コード!$C$5:$I$11,3,FALSE)&amp;");"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("&amp;"'"&amp;B82&amp;"'"&amp;","&amp;"'"&amp;C82&amp;"'"&amp;","&amp;VLOOKUP(D82,コード!$C$48:$I$115,3,FALSE)&amp;","&amp;E82&amp;","&amp;F82&amp;","&amp;G82&amp;","&amp;H82&amp;","&amp;VLOOKUP(I82,コード!$C$5:$I$11,3,FALSE)&amp;");"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("&amp;"'"&amp;B83&amp;"'"&amp;","&amp;"'"&amp;C83&amp;"'"&amp;","&amp;VLOOKUP(D83,コード!$C$48:$I$115,3,FALSE)&amp;","&amp;E83&amp;","&amp;F83&amp;","&amp;G83&amp;","&amp;H83&amp;","&amp;VLOOKUP(I83,コード!$C$5:$I$11,3,FALSE)&amp;");"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("&amp;"'"&amp;B84&amp;"'"&amp;","&amp;"'"&amp;C84&amp;"'"&amp;","&amp;VLOOKUP(D84,コード!$C$48:$I$115,3,FALSE)&amp;","&amp;E84&amp;","&amp;F84&amp;","&amp;G84&amp;","&amp;H84&amp;","&amp;VLOOKUP(I84,コード!$C$5:$I$11,3,FALSE)&amp;");"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("&amp;"'"&amp;B85&amp;"'"&amp;","&amp;"'"&amp;C85&amp;"'"&amp;","&amp;VLOOKUP(D85,コード!$C$48:$I$115,3,FALSE)&amp;","&amp;E85&amp;","&amp;F85&amp;","&amp;G85&amp;","&amp;H85&amp;","&amp;VLOOKUP(I85,コード!$C$5:$I$11,3,FALSE)&amp;");"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("&amp;"'"&amp;B86&amp;"'"&amp;","&amp;"'"&amp;C86&amp;"'"&amp;","&amp;VLOOKUP(D86,コード!$C$48:$I$115,3,FALSE)&amp;","&amp;E86&amp;","&amp;F86&amp;","&amp;G86&amp;","&amp;H86&amp;","&amp;VLOOKUP(I86,コード!$C$5:$I$11,3,FALSE)&amp;");"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("&amp;"'"&amp;B87&amp;"'"&amp;","&amp;"'"&amp;C87&amp;"'"&amp;","&amp;VLOOKUP(D87,コード!$C$48:$I$115,3,FALSE)&amp;","&amp;E87&amp;","&amp;F87&amp;","&amp;G87&amp;","&amp;H87&amp;","&amp;VLOOKUP(I87,コード!$C$5:$I$11,3,FALSE)&amp;");"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("&amp;"'"&amp;B88&amp;"'"&amp;","&amp;"'"&amp;C88&amp;"'"&amp;","&amp;VLOOKUP(D88,コード!$C$48:$I$115,3,FALSE)&amp;","&amp;E88&amp;","&amp;F88&amp;","&amp;G88&amp;","&amp;H88&amp;","&amp;VLOOKUP(I88,コード!$C$5:$I$11,3,FALSE)&amp;");"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("&amp;"'"&amp;B89&amp;"'"&amp;","&amp;"'"&amp;C89&amp;"'"&amp;","&amp;VLOOKUP(D89,コード!$C$48:$I$115,3,FALSE)&amp;","&amp;E89&amp;","&amp;F89&amp;","&amp;G89&amp;","&amp;H89&amp;","&amp;VLOOKUP(I89,コード!$C$5:$I$11,3,FALSE)&amp;");"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3.5"/>
  <cols>
    <col min="1" max="2" width="7.5" style="5" customWidth="1"/>
    <col min="3" max="3" width="13.75" style="5" customWidth="1"/>
    <col min="4" max="4" width="20" style="5" customWidth="1"/>
    <col min="5" max="5" width="30.625" style="5" hidden="1" customWidth="1"/>
    <col min="6" max="6" width="13.37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9.25" style="18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40.5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opLeftCell="D327" workbookViewId="0">
      <selection activeCell="Q387" sqref="Q387"/>
    </sheetView>
  </sheetViews>
  <sheetFormatPr defaultColWidth="9" defaultRowHeight="13.5"/>
  <cols>
    <col min="1" max="1" width="11" style="98" customWidth="1"/>
    <col min="2" max="6" width="10.8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1765</v>
      </c>
      <c r="G6" s="109" t="s">
        <v>1767</v>
      </c>
      <c r="M6" s="100"/>
      <c r="O6" s="100" t="s">
        <v>1939</v>
      </c>
    </row>
    <row r="7" spans="1:15">
      <c r="D7" s="98" t="s">
        <v>1766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1940</v>
      </c>
    </row>
    <row r="14" spans="1:15">
      <c r="M14" s="100"/>
    </row>
    <row r="15" spans="1:15">
      <c r="G15" s="98" t="s">
        <v>1764</v>
      </c>
      <c r="M15" s="100"/>
      <c r="O15" s="98" t="s">
        <v>1937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1941</v>
      </c>
    </row>
    <row r="22" spans="2:17">
      <c r="O22" s="98" t="s">
        <v>1753</v>
      </c>
      <c r="Q22" s="98" t="s">
        <v>1762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2226</v>
      </c>
    </row>
    <row r="26" spans="2:17">
      <c r="O26" s="98" t="s">
        <v>1748</v>
      </c>
      <c r="Q26" s="99" t="s">
        <v>1756</v>
      </c>
    </row>
    <row r="27" spans="2:17">
      <c r="O27" s="99" t="s">
        <v>1749</v>
      </c>
      <c r="Q27" s="99" t="s">
        <v>1757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1758</v>
      </c>
    </row>
    <row r="30" spans="2:17">
      <c r="O30" s="99" t="s">
        <v>1752</v>
      </c>
      <c r="Q30" s="101" t="s">
        <v>1768</v>
      </c>
    </row>
    <row r="31" spans="2:17">
      <c r="B31" s="98" t="s">
        <v>1736</v>
      </c>
    </row>
    <row r="32" spans="2:17">
      <c r="B32" s="98" t="s">
        <v>1759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1760</v>
      </c>
    </row>
    <row r="38" spans="2:15">
      <c r="B38" s="98" t="s">
        <v>1761</v>
      </c>
      <c r="J38" s="109" t="s">
        <v>1715</v>
      </c>
      <c r="N38" s="109" t="s">
        <v>2225</v>
      </c>
    </row>
    <row r="39" spans="2:15">
      <c r="N39" s="110"/>
      <c r="O39" s="98" t="s">
        <v>2013</v>
      </c>
    </row>
    <row r="40" spans="2:15">
      <c r="B40" s="109" t="s">
        <v>1729</v>
      </c>
      <c r="J40" s="98" t="s">
        <v>1708</v>
      </c>
      <c r="N40" s="110"/>
    </row>
    <row r="41" spans="2:15">
      <c r="B41" s="99"/>
      <c r="J41" s="98" t="s">
        <v>1709</v>
      </c>
      <c r="N41" s="110"/>
      <c r="O41" s="98" t="s">
        <v>2014</v>
      </c>
    </row>
    <row r="42" spans="2:15">
      <c r="B42" s="99" t="s">
        <v>1730</v>
      </c>
      <c r="J42" s="98" t="s">
        <v>1710</v>
      </c>
      <c r="N42" s="110"/>
      <c r="O42" s="98" t="s">
        <v>2015</v>
      </c>
    </row>
    <row r="43" spans="2:15">
      <c r="B43" s="99" t="s">
        <v>1731</v>
      </c>
      <c r="J43" s="98" t="s">
        <v>1711</v>
      </c>
      <c r="N43" s="110" t="s">
        <v>2223</v>
      </c>
      <c r="O43" s="98" t="s">
        <v>2224</v>
      </c>
    </row>
    <row r="44" spans="2:15">
      <c r="B44" s="99" t="s">
        <v>1732</v>
      </c>
      <c r="J44" s="98" t="s">
        <v>1719</v>
      </c>
      <c r="N44" s="110"/>
    </row>
    <row r="45" spans="2:15">
      <c r="B45" s="99" t="s">
        <v>1733</v>
      </c>
      <c r="J45" s="98" t="s">
        <v>1720</v>
      </c>
      <c r="N45" s="110"/>
      <c r="O45" s="98" t="s">
        <v>2016</v>
      </c>
    </row>
    <row r="46" spans="2:15">
      <c r="B46" s="99" t="s">
        <v>1734</v>
      </c>
      <c r="J46" s="98" t="s">
        <v>1712</v>
      </c>
      <c r="N46" s="110"/>
    </row>
    <row r="47" spans="2:15">
      <c r="B47" s="98" t="s">
        <v>1763</v>
      </c>
      <c r="J47" s="98" t="s">
        <v>1713</v>
      </c>
      <c r="N47" s="110"/>
      <c r="O47" s="98" t="s">
        <v>2017</v>
      </c>
    </row>
    <row r="48" spans="2:15">
      <c r="J48" s="98" t="s">
        <v>1716</v>
      </c>
      <c r="N48" s="110"/>
      <c r="O48" s="98" t="s">
        <v>2018</v>
      </c>
    </row>
    <row r="49" spans="2:15">
      <c r="J49" s="98" t="s">
        <v>1717</v>
      </c>
      <c r="N49" s="110"/>
      <c r="O49" s="98" t="s">
        <v>2019</v>
      </c>
    </row>
    <row r="50" spans="2:15">
      <c r="B50" s="109" t="s">
        <v>1936</v>
      </c>
      <c r="J50" s="98" t="s">
        <v>1718</v>
      </c>
      <c r="N50" s="110"/>
    </row>
    <row r="51" spans="2:15">
      <c r="B51" s="98" t="s">
        <v>1934</v>
      </c>
      <c r="J51" s="98" t="s">
        <v>1721</v>
      </c>
      <c r="N51" s="110"/>
      <c r="O51" s="98" t="s">
        <v>2020</v>
      </c>
    </row>
    <row r="52" spans="2:15">
      <c r="B52" s="99"/>
      <c r="J52" s="98" t="s">
        <v>1722</v>
      </c>
      <c r="N52" s="110"/>
    </row>
    <row r="53" spans="2:15">
      <c r="B53" s="99" t="s">
        <v>2199</v>
      </c>
      <c r="J53" s="98" t="s">
        <v>1728</v>
      </c>
      <c r="N53" s="110"/>
      <c r="O53" s="98" t="s">
        <v>2021</v>
      </c>
    </row>
    <row r="54" spans="2:15">
      <c r="B54" s="99" t="s">
        <v>2200</v>
      </c>
      <c r="J54" s="98" t="s">
        <v>307</v>
      </c>
      <c r="N54" s="110"/>
      <c r="O54" s="98" t="s">
        <v>2022</v>
      </c>
    </row>
    <row r="55" spans="2:15">
      <c r="B55" s="99" t="s">
        <v>2201</v>
      </c>
      <c r="N55" s="110"/>
      <c r="O55" s="98" t="s">
        <v>2023</v>
      </c>
    </row>
    <row r="56" spans="2:15">
      <c r="B56" s="99" t="s">
        <v>2202</v>
      </c>
      <c r="N56" s="110"/>
    </row>
    <row r="57" spans="2:15">
      <c r="B57" s="98" t="s">
        <v>2203</v>
      </c>
      <c r="N57" s="110"/>
      <c r="O57" s="98" t="s">
        <v>2024</v>
      </c>
    </row>
    <row r="58" spans="2:15">
      <c r="B58" s="98" t="s">
        <v>2217</v>
      </c>
      <c r="N58" s="110"/>
    </row>
    <row r="59" spans="2:15">
      <c r="B59" s="98" t="s">
        <v>2218</v>
      </c>
      <c r="N59" s="110"/>
      <c r="O59" s="98" t="s">
        <v>2025</v>
      </c>
    </row>
    <row r="60" spans="2:15">
      <c r="N60" s="110"/>
      <c r="O60" s="98" t="s">
        <v>2026</v>
      </c>
    </row>
    <row r="61" spans="2:15">
      <c r="B61" s="98" t="s">
        <v>1935</v>
      </c>
      <c r="N61" s="110"/>
      <c r="O61" s="98" t="s">
        <v>2027</v>
      </c>
    </row>
    <row r="62" spans="2:15">
      <c r="N62" s="110"/>
    </row>
    <row r="63" spans="2:15">
      <c r="B63" s="98" t="s">
        <v>2204</v>
      </c>
      <c r="F63" s="109" t="s">
        <v>1954</v>
      </c>
      <c r="N63" s="110"/>
      <c r="O63" s="98" t="s">
        <v>2028</v>
      </c>
    </row>
    <row r="64" spans="2:15">
      <c r="B64" s="98" t="s">
        <v>2205</v>
      </c>
      <c r="N64" s="110"/>
    </row>
    <row r="65" spans="2:18">
      <c r="B65" s="98" t="s">
        <v>2206</v>
      </c>
      <c r="F65" s="98" t="s">
        <v>1944</v>
      </c>
      <c r="N65" s="110"/>
      <c r="O65" s="98" t="s">
        <v>2029</v>
      </c>
    </row>
    <row r="66" spans="2:18">
      <c r="B66" s="98" t="s">
        <v>2207</v>
      </c>
      <c r="F66" s="98" t="s">
        <v>1945</v>
      </c>
      <c r="N66" s="110"/>
      <c r="O66" s="98" t="s">
        <v>2030</v>
      </c>
    </row>
    <row r="67" spans="2:18">
      <c r="B67" s="98" t="s">
        <v>2208</v>
      </c>
      <c r="F67" s="98" t="s">
        <v>1946</v>
      </c>
      <c r="N67" s="110"/>
      <c r="O67" s="98" t="s">
        <v>2031</v>
      </c>
    </row>
    <row r="68" spans="2:18">
      <c r="B68" s="98" t="s">
        <v>2209</v>
      </c>
      <c r="F68" s="98" t="s">
        <v>1947</v>
      </c>
      <c r="N68" s="110"/>
    </row>
    <row r="69" spans="2:18">
      <c r="B69" s="98" t="s">
        <v>2219</v>
      </c>
      <c r="F69" s="98" t="s">
        <v>1948</v>
      </c>
      <c r="N69" s="110" t="s">
        <v>2223</v>
      </c>
      <c r="O69" s="98" t="s">
        <v>2032</v>
      </c>
    </row>
    <row r="70" spans="2:18">
      <c r="B70" s="98" t="s">
        <v>2210</v>
      </c>
      <c r="F70" s="98" t="s">
        <v>1949</v>
      </c>
      <c r="N70" s="110"/>
    </row>
    <row r="71" spans="2:18">
      <c r="B71" s="98" t="s">
        <v>2211</v>
      </c>
      <c r="F71" s="98" t="s">
        <v>1950</v>
      </c>
      <c r="N71" s="110" t="s">
        <v>2223</v>
      </c>
      <c r="O71" s="98" t="s">
        <v>2033</v>
      </c>
      <c r="R71" s="98" t="s">
        <v>2191</v>
      </c>
    </row>
    <row r="72" spans="2:18">
      <c r="B72" s="98" t="s">
        <v>2212</v>
      </c>
      <c r="F72" s="98" t="s">
        <v>1951</v>
      </c>
      <c r="N72" s="110" t="s">
        <v>2223</v>
      </c>
      <c r="O72" s="98" t="s">
        <v>2034</v>
      </c>
      <c r="R72" s="98" t="s">
        <v>2192</v>
      </c>
    </row>
    <row r="73" spans="2:18">
      <c r="B73" s="98" t="s">
        <v>2213</v>
      </c>
      <c r="F73" s="98" t="s">
        <v>1952</v>
      </c>
      <c r="N73" s="110" t="s">
        <v>2223</v>
      </c>
      <c r="O73" s="98" t="s">
        <v>2035</v>
      </c>
    </row>
    <row r="74" spans="2:18">
      <c r="B74" s="98" t="s">
        <v>2220</v>
      </c>
      <c r="F74" s="98" t="s">
        <v>1953</v>
      </c>
      <c r="N74" s="110" t="s">
        <v>2223</v>
      </c>
      <c r="O74" s="98" t="s">
        <v>2036</v>
      </c>
      <c r="R74" s="98" t="s">
        <v>2193</v>
      </c>
    </row>
    <row r="75" spans="2:18">
      <c r="B75" s="98" t="s">
        <v>2221</v>
      </c>
      <c r="N75" s="110" t="s">
        <v>2223</v>
      </c>
      <c r="O75" s="98" t="s">
        <v>2037</v>
      </c>
      <c r="R75" s="98" t="s">
        <v>2194</v>
      </c>
    </row>
    <row r="76" spans="2:18">
      <c r="B76" s="98" t="s">
        <v>2214</v>
      </c>
      <c r="N76" s="110" t="s">
        <v>2223</v>
      </c>
      <c r="O76" s="98" t="s">
        <v>2038</v>
      </c>
      <c r="R76" s="98" t="s">
        <v>2195</v>
      </c>
    </row>
    <row r="77" spans="2:18">
      <c r="B77" s="98" t="s">
        <v>2222</v>
      </c>
      <c r="N77" s="110"/>
      <c r="O77" s="98" t="s">
        <v>2039</v>
      </c>
      <c r="R77" s="98" t="s">
        <v>2196</v>
      </c>
    </row>
    <row r="78" spans="2:18">
      <c r="B78" s="98" t="s">
        <v>2215</v>
      </c>
      <c r="N78" s="110"/>
      <c r="R78" s="98" t="s">
        <v>2197</v>
      </c>
    </row>
    <row r="79" spans="2:18">
      <c r="B79" s="98" t="s">
        <v>2216</v>
      </c>
      <c r="N79" s="110"/>
      <c r="O79" s="98" t="s">
        <v>2040</v>
      </c>
      <c r="R79" s="98" t="s">
        <v>2198</v>
      </c>
    </row>
    <row r="80" spans="2:18">
      <c r="N80" s="110"/>
    </row>
    <row r="81" spans="1:15">
      <c r="N81" s="110"/>
      <c r="O81" s="98" t="s">
        <v>2041</v>
      </c>
    </row>
    <row r="82" spans="1:15">
      <c r="B82" s="109" t="s">
        <v>1938</v>
      </c>
      <c r="N82" s="110"/>
      <c r="O82" s="98" t="s">
        <v>2042</v>
      </c>
    </row>
    <row r="83" spans="1:15">
      <c r="A83" s="98" t="s">
        <v>1943</v>
      </c>
      <c r="B83" s="98" t="s">
        <v>1990</v>
      </c>
      <c r="E83" s="98" t="s">
        <v>1996</v>
      </c>
      <c r="G83" s="98" t="s">
        <v>1989</v>
      </c>
      <c r="I83" s="98" t="s">
        <v>1992</v>
      </c>
      <c r="N83" s="110"/>
      <c r="O83" s="98" t="s">
        <v>2043</v>
      </c>
    </row>
    <row r="84" spans="1:15">
      <c r="N84" s="110"/>
      <c r="O84" s="98" t="s">
        <v>2044</v>
      </c>
    </row>
    <row r="85" spans="1:15">
      <c r="B85" s="98" t="s">
        <v>1955</v>
      </c>
      <c r="E85" s="98" t="s">
        <v>1942</v>
      </c>
      <c r="G85" s="98" t="s">
        <v>155</v>
      </c>
      <c r="I85" s="98" t="s">
        <v>1942</v>
      </c>
      <c r="N85" s="110"/>
    </row>
    <row r="86" spans="1:15">
      <c r="E86" s="98" t="s">
        <v>1993</v>
      </c>
      <c r="F86" s="98" t="s">
        <v>1995</v>
      </c>
      <c r="G86" s="98" t="s">
        <v>231</v>
      </c>
      <c r="I86" s="98" t="s">
        <v>1998</v>
      </c>
      <c r="J86" s="98" t="s">
        <v>1991</v>
      </c>
      <c r="N86" s="110"/>
      <c r="O86" s="98" t="s">
        <v>2045</v>
      </c>
    </row>
    <row r="87" spans="1:15">
      <c r="B87" s="98" t="s">
        <v>1956</v>
      </c>
      <c r="E87" s="98" t="s">
        <v>1994</v>
      </c>
      <c r="N87" s="110"/>
    </row>
    <row r="88" spans="1:15">
      <c r="B88" s="98" t="s">
        <v>1957</v>
      </c>
      <c r="E88" s="98" t="s">
        <v>1997</v>
      </c>
      <c r="N88" s="110"/>
      <c r="O88" s="98" t="s">
        <v>2046</v>
      </c>
    </row>
    <row r="89" spans="1:15">
      <c r="N89" s="110"/>
      <c r="O89" s="98" t="s">
        <v>2047</v>
      </c>
    </row>
    <row r="90" spans="1:15">
      <c r="B90" s="98" t="s">
        <v>1958</v>
      </c>
      <c r="N90" s="110"/>
      <c r="O90" s="98" t="s">
        <v>2048</v>
      </c>
    </row>
    <row r="91" spans="1:15">
      <c r="B91" s="98" t="s">
        <v>1959</v>
      </c>
      <c r="N91" s="110"/>
      <c r="O91" s="98" t="s">
        <v>2049</v>
      </c>
    </row>
    <row r="92" spans="1:15">
      <c r="B92" s="98" t="s">
        <v>1960</v>
      </c>
      <c r="N92" s="110"/>
      <c r="O92" s="98" t="s">
        <v>2050</v>
      </c>
    </row>
    <row r="93" spans="1:15">
      <c r="B93" s="98" t="s">
        <v>1961</v>
      </c>
      <c r="N93" s="110"/>
      <c r="O93" s="98" t="s">
        <v>2051</v>
      </c>
    </row>
    <row r="94" spans="1:15">
      <c r="B94" s="98" t="s">
        <v>1962</v>
      </c>
      <c r="N94" s="110"/>
    </row>
    <row r="95" spans="1:15">
      <c r="N95" s="110"/>
      <c r="O95" s="98" t="s">
        <v>2052</v>
      </c>
    </row>
    <row r="96" spans="1:15">
      <c r="B96" s="98" t="s">
        <v>1963</v>
      </c>
      <c r="N96" s="110"/>
    </row>
    <row r="97" spans="2:15">
      <c r="B97" s="98" t="s">
        <v>1964</v>
      </c>
      <c r="N97" s="110"/>
      <c r="O97" s="98" t="s">
        <v>2053</v>
      </c>
    </row>
    <row r="98" spans="2:15">
      <c r="B98" s="98" t="s">
        <v>1965</v>
      </c>
      <c r="N98" s="110"/>
      <c r="O98" s="98" t="s">
        <v>2054</v>
      </c>
    </row>
    <row r="99" spans="2:15">
      <c r="N99" s="110"/>
      <c r="O99" s="98" t="s">
        <v>2055</v>
      </c>
    </row>
    <row r="100" spans="2:15">
      <c r="B100" s="98" t="s">
        <v>1966</v>
      </c>
      <c r="N100" s="110"/>
      <c r="O100" s="98" t="s">
        <v>2056</v>
      </c>
    </row>
    <row r="101" spans="2:15">
      <c r="B101" s="98" t="s">
        <v>1967</v>
      </c>
      <c r="N101" s="110"/>
    </row>
    <row r="102" spans="2:15">
      <c r="N102" s="110"/>
      <c r="O102" s="98" t="s">
        <v>2057</v>
      </c>
    </row>
    <row r="103" spans="2:15">
      <c r="B103" s="98" t="s">
        <v>1968</v>
      </c>
      <c r="N103" s="110"/>
    </row>
    <row r="104" spans="2:15">
      <c r="B104" s="98" t="s">
        <v>1969</v>
      </c>
      <c r="N104" s="110"/>
      <c r="O104" s="98" t="s">
        <v>2058</v>
      </c>
    </row>
    <row r="105" spans="2:15">
      <c r="B105" s="98" t="s">
        <v>1970</v>
      </c>
      <c r="N105" s="110"/>
      <c r="O105" s="98" t="s">
        <v>2059</v>
      </c>
    </row>
    <row r="106" spans="2:15">
      <c r="N106" s="110"/>
      <c r="O106" s="98" t="s">
        <v>2060</v>
      </c>
    </row>
    <row r="107" spans="2:15">
      <c r="B107" s="98" t="s">
        <v>1971</v>
      </c>
      <c r="N107" s="110"/>
    </row>
    <row r="108" spans="2:15">
      <c r="B108" s="98" t="s">
        <v>1972</v>
      </c>
      <c r="N108" s="110"/>
      <c r="O108" s="98" t="s">
        <v>2061</v>
      </c>
    </row>
    <row r="109" spans="2:15">
      <c r="B109" s="98" t="s">
        <v>1973</v>
      </c>
      <c r="N109" s="110"/>
    </row>
    <row r="110" spans="2:15">
      <c r="B110" s="98" t="s">
        <v>1974</v>
      </c>
      <c r="N110" s="110"/>
      <c r="O110" s="98" t="s">
        <v>2062</v>
      </c>
    </row>
    <row r="111" spans="2:15">
      <c r="B111" s="98" t="s">
        <v>1975</v>
      </c>
      <c r="N111" s="110"/>
      <c r="O111" s="98" t="s">
        <v>2063</v>
      </c>
    </row>
    <row r="112" spans="2:15">
      <c r="N112" s="110"/>
      <c r="O112" s="98" t="s">
        <v>2064</v>
      </c>
    </row>
    <row r="113" spans="1:15">
      <c r="N113" s="110"/>
      <c r="O113" s="98" t="s">
        <v>2065</v>
      </c>
    </row>
    <row r="114" spans="1:15">
      <c r="N114" s="110"/>
      <c r="O114" s="98" t="s">
        <v>2066</v>
      </c>
    </row>
    <row r="115" spans="1:15">
      <c r="N115" s="110"/>
      <c r="O115" s="98" t="s">
        <v>2067</v>
      </c>
    </row>
    <row r="116" spans="1:15">
      <c r="A116" s="98" t="s">
        <v>1976</v>
      </c>
      <c r="N116" s="110"/>
      <c r="O116" s="98" t="s">
        <v>2068</v>
      </c>
    </row>
    <row r="117" spans="1:15">
      <c r="B117" s="98" t="s">
        <v>1977</v>
      </c>
      <c r="N117" s="110"/>
      <c r="O117" s="98" t="s">
        <v>2069</v>
      </c>
    </row>
    <row r="118" spans="1:15">
      <c r="B118" s="98" t="s">
        <v>1978</v>
      </c>
      <c r="N118" s="110"/>
      <c r="O118" s="98" t="s">
        <v>2070</v>
      </c>
    </row>
    <row r="119" spans="1:15">
      <c r="N119" s="110"/>
    </row>
    <row r="120" spans="1:15">
      <c r="B120" s="98" t="s">
        <v>1979</v>
      </c>
      <c r="N120" s="110" t="s">
        <v>2223</v>
      </c>
      <c r="O120" s="98" t="s">
        <v>2071</v>
      </c>
    </row>
    <row r="121" spans="1:15">
      <c r="B121" s="98" t="s">
        <v>1980</v>
      </c>
      <c r="N121" s="110"/>
    </row>
    <row r="122" spans="1:15">
      <c r="N122" s="110" t="s">
        <v>2223</v>
      </c>
      <c r="O122" s="98" t="s">
        <v>2072</v>
      </c>
    </row>
    <row r="123" spans="1:15">
      <c r="B123" s="98" t="s">
        <v>1981</v>
      </c>
      <c r="N123" s="110" t="s">
        <v>2223</v>
      </c>
      <c r="O123" s="98" t="s">
        <v>2073</v>
      </c>
    </row>
    <row r="124" spans="1:15">
      <c r="B124" s="98" t="s">
        <v>1984</v>
      </c>
      <c r="N124" s="110" t="s">
        <v>2223</v>
      </c>
      <c r="O124" s="98" t="s">
        <v>2074</v>
      </c>
    </row>
    <row r="125" spans="1:15">
      <c r="B125" s="98" t="s">
        <v>1985</v>
      </c>
      <c r="N125" s="110"/>
      <c r="O125" s="98" t="s">
        <v>2075</v>
      </c>
    </row>
    <row r="126" spans="1:15">
      <c r="B126" s="98" t="s">
        <v>1988</v>
      </c>
      <c r="N126" s="110"/>
    </row>
    <row r="127" spans="1:15">
      <c r="B127" s="98" t="s">
        <v>1986</v>
      </c>
      <c r="N127" s="110"/>
      <c r="O127" s="98" t="s">
        <v>2076</v>
      </c>
    </row>
    <row r="128" spans="1:15">
      <c r="N128" s="110"/>
    </row>
    <row r="129" spans="1:15">
      <c r="B129" s="98" t="s">
        <v>1982</v>
      </c>
      <c r="N129" s="110"/>
      <c r="O129" s="98" t="s">
        <v>2077</v>
      </c>
    </row>
    <row r="130" spans="1:15">
      <c r="B130" s="98" t="s">
        <v>1987</v>
      </c>
      <c r="N130" s="110"/>
      <c r="O130" s="98" t="s">
        <v>2078</v>
      </c>
    </row>
    <row r="131" spans="1:15">
      <c r="B131" s="98" t="s">
        <v>1983</v>
      </c>
      <c r="N131" s="110"/>
      <c r="O131" s="98" t="s">
        <v>2079</v>
      </c>
    </row>
    <row r="132" spans="1:15">
      <c r="N132" s="110"/>
      <c r="O132" s="98" t="s">
        <v>2080</v>
      </c>
    </row>
    <row r="133" spans="1:15">
      <c r="N133" s="110"/>
      <c r="O133" s="98" t="s">
        <v>2081</v>
      </c>
    </row>
    <row r="134" spans="1:15">
      <c r="A134" s="98" t="s">
        <v>1999</v>
      </c>
      <c r="N134" s="110"/>
    </row>
    <row r="135" spans="1:15">
      <c r="B135" s="98" t="s">
        <v>2000</v>
      </c>
      <c r="N135" s="110"/>
      <c r="O135" s="98" t="s">
        <v>2082</v>
      </c>
    </row>
    <row r="136" spans="1:15">
      <c r="B136" s="98" t="s">
        <v>1841</v>
      </c>
      <c r="N136" s="110"/>
    </row>
    <row r="137" spans="1:15">
      <c r="B137" s="98" t="s">
        <v>2001</v>
      </c>
      <c r="N137" s="110"/>
      <c r="O137" s="98" t="s">
        <v>2083</v>
      </c>
    </row>
    <row r="138" spans="1:15">
      <c r="B138" s="98" t="s">
        <v>2002</v>
      </c>
      <c r="N138" s="110"/>
      <c r="O138" s="98" t="s">
        <v>2084</v>
      </c>
    </row>
    <row r="139" spans="1:15">
      <c r="B139" s="98" t="s">
        <v>1841</v>
      </c>
      <c r="N139" s="110"/>
      <c r="O139" s="98" t="s">
        <v>2085</v>
      </c>
    </row>
    <row r="140" spans="1:15">
      <c r="B140" s="98" t="s">
        <v>2003</v>
      </c>
      <c r="N140" s="110"/>
      <c r="O140" s="98" t="s">
        <v>2086</v>
      </c>
    </row>
    <row r="141" spans="1:15">
      <c r="B141" s="98" t="s">
        <v>1841</v>
      </c>
      <c r="N141" s="110"/>
    </row>
    <row r="142" spans="1:15">
      <c r="B142" s="98" t="s">
        <v>2004</v>
      </c>
      <c r="N142" s="110"/>
      <c r="O142" s="98" t="s">
        <v>2087</v>
      </c>
    </row>
    <row r="143" spans="1:15">
      <c r="B143" s="98" t="s">
        <v>1841</v>
      </c>
      <c r="N143" s="110"/>
    </row>
    <row r="144" spans="1:15">
      <c r="B144" s="98" t="s">
        <v>2005</v>
      </c>
      <c r="N144" s="110"/>
      <c r="O144" s="98" t="s">
        <v>2088</v>
      </c>
    </row>
    <row r="145" spans="1:15">
      <c r="B145" s="98" t="s">
        <v>2006</v>
      </c>
      <c r="N145" s="110"/>
      <c r="O145" s="98" t="s">
        <v>2089</v>
      </c>
    </row>
    <row r="146" spans="1:15">
      <c r="B146" s="98" t="s">
        <v>2007</v>
      </c>
      <c r="N146" s="110"/>
      <c r="O146" s="98" t="s">
        <v>2090</v>
      </c>
    </row>
    <row r="147" spans="1:15">
      <c r="B147" s="98" t="s">
        <v>2008</v>
      </c>
      <c r="N147" s="110"/>
      <c r="O147" s="98" t="s">
        <v>2091</v>
      </c>
    </row>
    <row r="148" spans="1:15">
      <c r="B148" s="98" t="s">
        <v>2009</v>
      </c>
      <c r="N148" s="110"/>
    </row>
    <row r="149" spans="1:15">
      <c r="B149" s="98" t="s">
        <v>2008</v>
      </c>
      <c r="N149" s="110" t="s">
        <v>2223</v>
      </c>
      <c r="O149" s="98" t="s">
        <v>2092</v>
      </c>
    </row>
    <row r="150" spans="1:15">
      <c r="B150" s="98" t="s">
        <v>2010</v>
      </c>
      <c r="N150" s="110"/>
    </row>
    <row r="151" spans="1:15">
      <c r="B151" s="98" t="s">
        <v>2008</v>
      </c>
      <c r="N151" s="110" t="s">
        <v>2223</v>
      </c>
      <c r="O151" s="98" t="s">
        <v>2093</v>
      </c>
    </row>
    <row r="152" spans="1:15">
      <c r="B152" s="98" t="s">
        <v>2011</v>
      </c>
      <c r="N152" s="110" t="s">
        <v>2223</v>
      </c>
      <c r="O152" s="98" t="s">
        <v>2094</v>
      </c>
    </row>
    <row r="153" spans="1:15">
      <c r="B153" s="98" t="s">
        <v>2008</v>
      </c>
      <c r="N153" s="110" t="s">
        <v>2223</v>
      </c>
      <c r="O153" s="98" t="s">
        <v>2095</v>
      </c>
    </row>
    <row r="154" spans="1:15">
      <c r="B154" s="98" t="s">
        <v>2012</v>
      </c>
      <c r="N154" s="110"/>
      <c r="O154" s="98" t="s">
        <v>2096</v>
      </c>
    </row>
    <row r="155" spans="1:15">
      <c r="N155" s="110"/>
    </row>
    <row r="156" spans="1:15">
      <c r="N156" s="110" t="s">
        <v>2223</v>
      </c>
      <c r="O156" s="98" t="s">
        <v>2097</v>
      </c>
    </row>
    <row r="157" spans="1:15">
      <c r="A157" s="109" t="s">
        <v>2227</v>
      </c>
      <c r="N157" s="110"/>
    </row>
    <row r="158" spans="1:15">
      <c r="B158" s="98" t="s">
        <v>2228</v>
      </c>
      <c r="N158" s="110" t="s">
        <v>2223</v>
      </c>
      <c r="O158" s="98" t="s">
        <v>2098</v>
      </c>
    </row>
    <row r="159" spans="1:15">
      <c r="N159" s="110" t="s">
        <v>2223</v>
      </c>
      <c r="O159" s="98" t="s">
        <v>2099</v>
      </c>
    </row>
    <row r="160" spans="1:15">
      <c r="B160" s="98" t="s">
        <v>2229</v>
      </c>
      <c r="C160" s="98" t="s">
        <v>2230</v>
      </c>
      <c r="D160" s="98" t="s">
        <v>2231</v>
      </c>
      <c r="E160" s="98" t="s">
        <v>2232</v>
      </c>
      <c r="N160" s="110" t="s">
        <v>2223</v>
      </c>
      <c r="O160" s="98" t="s">
        <v>2100</v>
      </c>
    </row>
    <row r="161" spans="2:15">
      <c r="B161" s="98" t="s">
        <v>2233</v>
      </c>
      <c r="C161" s="98" t="s">
        <v>2234</v>
      </c>
      <c r="D161" s="98" t="s">
        <v>2235</v>
      </c>
      <c r="E161" s="98" t="s">
        <v>2236</v>
      </c>
      <c r="N161" s="110" t="s">
        <v>2223</v>
      </c>
      <c r="O161" s="98" t="s">
        <v>2101</v>
      </c>
    </row>
    <row r="162" spans="2:15">
      <c r="B162" s="109" t="s">
        <v>2237</v>
      </c>
      <c r="C162" s="109" t="s">
        <v>2234</v>
      </c>
      <c r="D162" s="109" t="s">
        <v>2238</v>
      </c>
      <c r="E162" s="109" t="s">
        <v>2239</v>
      </c>
      <c r="N162" s="110" t="s">
        <v>2223</v>
      </c>
      <c r="O162" s="98" t="s">
        <v>2102</v>
      </c>
    </row>
    <row r="163" spans="2:15">
      <c r="B163" s="98" t="s">
        <v>2240</v>
      </c>
      <c r="C163" s="98" t="s">
        <v>2234</v>
      </c>
      <c r="D163" s="98" t="s">
        <v>2238</v>
      </c>
      <c r="E163" s="98" t="s">
        <v>2241</v>
      </c>
      <c r="N163" s="110" t="s">
        <v>2223</v>
      </c>
      <c r="O163" s="98" t="s">
        <v>2103</v>
      </c>
    </row>
    <row r="164" spans="2:15">
      <c r="B164" s="98" t="s">
        <v>2242</v>
      </c>
      <c r="C164" s="98" t="s">
        <v>2234</v>
      </c>
      <c r="D164" s="98" t="s">
        <v>2243</v>
      </c>
      <c r="E164" s="98" t="s">
        <v>2244</v>
      </c>
      <c r="N164" s="110"/>
    </row>
    <row r="165" spans="2:15">
      <c r="B165" s="98" t="s">
        <v>2245</v>
      </c>
      <c r="C165" s="98" t="s">
        <v>2234</v>
      </c>
      <c r="D165" s="98" t="s">
        <v>2238</v>
      </c>
      <c r="E165" s="98" t="s">
        <v>2246</v>
      </c>
      <c r="N165" s="110"/>
      <c r="O165" s="98" t="s">
        <v>2104</v>
      </c>
    </row>
    <row r="166" spans="2:15">
      <c r="B166" s="98" t="s">
        <v>2247</v>
      </c>
      <c r="C166" s="98" t="s">
        <v>2248</v>
      </c>
      <c r="D166" s="98" t="s">
        <v>2243</v>
      </c>
      <c r="E166" s="98" t="s">
        <v>2249</v>
      </c>
      <c r="N166" s="110"/>
    </row>
    <row r="167" spans="2:15">
      <c r="N167" s="110"/>
      <c r="O167" s="98" t="s">
        <v>2105</v>
      </c>
    </row>
    <row r="168" spans="2:15">
      <c r="N168" s="110"/>
      <c r="O168" s="98" t="s">
        <v>2106</v>
      </c>
    </row>
    <row r="169" spans="2:15">
      <c r="N169" s="110"/>
      <c r="O169" s="98" t="s">
        <v>2107</v>
      </c>
    </row>
    <row r="170" spans="2:15">
      <c r="N170" s="110"/>
    </row>
    <row r="171" spans="2:15">
      <c r="N171" s="110"/>
      <c r="O171" s="98" t="s">
        <v>2108</v>
      </c>
    </row>
    <row r="172" spans="2:15">
      <c r="N172" s="110"/>
    </row>
    <row r="173" spans="2:15">
      <c r="N173" s="110"/>
      <c r="O173" s="98" t="s">
        <v>2109</v>
      </c>
    </row>
    <row r="174" spans="2:15">
      <c r="N174" s="110"/>
      <c r="O174" s="98" t="s">
        <v>2110</v>
      </c>
    </row>
    <row r="175" spans="2:15">
      <c r="N175" s="110"/>
      <c r="O175" s="98" t="s">
        <v>2111</v>
      </c>
    </row>
    <row r="176" spans="2:15">
      <c r="N176" s="110"/>
      <c r="O176" s="98" t="s">
        <v>2112</v>
      </c>
    </row>
    <row r="177" spans="14:15">
      <c r="N177" s="110"/>
      <c r="O177" s="98" t="s">
        <v>2113</v>
      </c>
    </row>
    <row r="178" spans="14:15">
      <c r="N178" s="110"/>
    </row>
    <row r="179" spans="14:15">
      <c r="N179" s="110"/>
      <c r="O179" s="98" t="s">
        <v>2114</v>
      </c>
    </row>
    <row r="180" spans="14:15">
      <c r="N180" s="110"/>
    </row>
    <row r="181" spans="14:15">
      <c r="N181" s="110"/>
      <c r="O181" s="98" t="s">
        <v>2115</v>
      </c>
    </row>
    <row r="182" spans="14:15">
      <c r="N182" s="110"/>
      <c r="O182" s="98" t="s">
        <v>2116</v>
      </c>
    </row>
    <row r="183" spans="14:15">
      <c r="N183" s="110"/>
      <c r="O183" s="98" t="s">
        <v>2117</v>
      </c>
    </row>
    <row r="184" spans="14:15">
      <c r="N184" s="110"/>
      <c r="O184" s="98" t="s">
        <v>2118</v>
      </c>
    </row>
    <row r="185" spans="14:15">
      <c r="N185" s="110"/>
      <c r="O185" s="98" t="s">
        <v>2119</v>
      </c>
    </row>
    <row r="186" spans="14:15">
      <c r="N186" s="110"/>
    </row>
    <row r="187" spans="14:15">
      <c r="N187" s="110"/>
      <c r="O187" s="98" t="s">
        <v>2120</v>
      </c>
    </row>
    <row r="188" spans="14:15">
      <c r="N188" s="110"/>
    </row>
    <row r="189" spans="14:15">
      <c r="N189" s="110"/>
      <c r="O189" s="98" t="s">
        <v>2121</v>
      </c>
    </row>
    <row r="190" spans="14:15">
      <c r="N190" s="110"/>
      <c r="O190" s="98" t="s">
        <v>2122</v>
      </c>
    </row>
    <row r="191" spans="14:15">
      <c r="N191" s="110"/>
      <c r="O191" s="98" t="s">
        <v>2093</v>
      </c>
    </row>
    <row r="192" spans="14:15">
      <c r="N192" s="110"/>
      <c r="O192" s="98" t="s">
        <v>2123</v>
      </c>
    </row>
    <row r="193" spans="14:15">
      <c r="N193" s="110"/>
      <c r="O193" s="98" t="s">
        <v>2124</v>
      </c>
    </row>
    <row r="194" spans="14:15">
      <c r="N194" s="110"/>
      <c r="O194" s="98" t="s">
        <v>2125</v>
      </c>
    </row>
    <row r="195" spans="14:15">
      <c r="N195" s="110"/>
    </row>
    <row r="196" spans="14:15">
      <c r="N196" s="110"/>
      <c r="O196" s="98" t="s">
        <v>2126</v>
      </c>
    </row>
    <row r="197" spans="14:15">
      <c r="N197" s="110"/>
    </row>
    <row r="198" spans="14:15">
      <c r="N198" s="110"/>
      <c r="O198" s="98" t="s">
        <v>2123</v>
      </c>
    </row>
    <row r="199" spans="14:15">
      <c r="N199" s="110"/>
      <c r="O199" s="98" t="s">
        <v>2127</v>
      </c>
    </row>
    <row r="200" spans="14:15">
      <c r="N200" s="110" t="s">
        <v>2223</v>
      </c>
      <c r="O200" s="98" t="s">
        <v>2128</v>
      </c>
    </row>
    <row r="201" spans="14:15">
      <c r="N201" s="110"/>
      <c r="O201" s="98" t="s">
        <v>2129</v>
      </c>
    </row>
    <row r="202" spans="14:15">
      <c r="N202" s="110"/>
    </row>
    <row r="203" spans="14:15">
      <c r="N203" s="110"/>
      <c r="O203" s="98" t="s">
        <v>2130</v>
      </c>
    </row>
    <row r="204" spans="14:15">
      <c r="N204" s="110"/>
    </row>
    <row r="205" spans="14:15">
      <c r="N205" s="110"/>
      <c r="O205" s="98" t="s">
        <v>2131</v>
      </c>
    </row>
    <row r="206" spans="14:15">
      <c r="N206" s="110"/>
      <c r="O206" s="98" t="s">
        <v>2132</v>
      </c>
    </row>
    <row r="207" spans="14:15">
      <c r="N207" s="110" t="s">
        <v>2223</v>
      </c>
      <c r="O207" s="98" t="s">
        <v>2133</v>
      </c>
    </row>
    <row r="208" spans="14:15">
      <c r="N208" s="110"/>
    </row>
    <row r="209" spans="14:15">
      <c r="N209" s="110"/>
      <c r="O209" s="98" t="s">
        <v>2134</v>
      </c>
    </row>
    <row r="210" spans="14:15">
      <c r="N210" s="110"/>
    </row>
    <row r="211" spans="14:15">
      <c r="N211" s="110"/>
      <c r="O211" s="98" t="s">
        <v>2135</v>
      </c>
    </row>
    <row r="212" spans="14:15">
      <c r="N212" s="110"/>
      <c r="O212" s="98" t="s">
        <v>2136</v>
      </c>
    </row>
    <row r="213" spans="14:15">
      <c r="N213" s="110"/>
      <c r="O213" s="98" t="s">
        <v>2137</v>
      </c>
    </row>
    <row r="214" spans="14:15">
      <c r="N214" s="110"/>
    </row>
    <row r="215" spans="14:15">
      <c r="N215" s="110"/>
      <c r="O215" s="98" t="s">
        <v>2138</v>
      </c>
    </row>
    <row r="216" spans="14:15">
      <c r="N216" s="110"/>
    </row>
    <row r="217" spans="14:15">
      <c r="N217" s="110"/>
      <c r="O217" s="98" t="s">
        <v>2139</v>
      </c>
    </row>
    <row r="218" spans="14:15">
      <c r="N218" s="110"/>
      <c r="O218" s="98" t="s">
        <v>2140</v>
      </c>
    </row>
    <row r="219" spans="14:15">
      <c r="N219" s="110"/>
      <c r="O219" s="98" t="s">
        <v>2141</v>
      </c>
    </row>
    <row r="220" spans="14:15">
      <c r="N220" s="110"/>
    </row>
    <row r="221" spans="14:15">
      <c r="N221" s="110"/>
      <c r="O221" s="98" t="s">
        <v>2142</v>
      </c>
    </row>
    <row r="222" spans="14:15">
      <c r="N222" s="110"/>
    </row>
    <row r="223" spans="14:15">
      <c r="N223" s="110"/>
      <c r="O223" s="98" t="s">
        <v>2143</v>
      </c>
    </row>
    <row r="224" spans="14:15">
      <c r="N224" s="110"/>
      <c r="O224" s="98" t="s">
        <v>2144</v>
      </c>
    </row>
    <row r="225" spans="14:15">
      <c r="N225" s="110"/>
      <c r="O225" s="98" t="s">
        <v>2145</v>
      </c>
    </row>
    <row r="226" spans="14:15">
      <c r="N226" s="110"/>
    </row>
    <row r="227" spans="14:15">
      <c r="N227" s="110"/>
      <c r="O227" s="98" t="s">
        <v>2146</v>
      </c>
    </row>
    <row r="228" spans="14:15">
      <c r="N228" s="110"/>
    </row>
    <row r="229" spans="14:15">
      <c r="N229" s="110"/>
      <c r="O229" s="98" t="s">
        <v>2147</v>
      </c>
    </row>
    <row r="230" spans="14:15">
      <c r="N230" s="110"/>
      <c r="O230" s="98" t="s">
        <v>2148</v>
      </c>
    </row>
    <row r="231" spans="14:15">
      <c r="N231" s="110"/>
      <c r="O231" s="98" t="s">
        <v>2149</v>
      </c>
    </row>
    <row r="232" spans="14:15">
      <c r="N232" s="110"/>
      <c r="O232" s="98" t="s">
        <v>2150</v>
      </c>
    </row>
    <row r="233" spans="14:15">
      <c r="N233" s="110"/>
      <c r="O233" s="98" t="s">
        <v>2151</v>
      </c>
    </row>
    <row r="234" spans="14:15">
      <c r="N234" s="110"/>
    </row>
    <row r="235" spans="14:15">
      <c r="N235" s="110"/>
      <c r="O235" s="98" t="s">
        <v>2152</v>
      </c>
    </row>
    <row r="236" spans="14:15">
      <c r="N236" s="110"/>
    </row>
    <row r="237" spans="14:15">
      <c r="N237" s="110"/>
      <c r="O237" s="98" t="s">
        <v>2153</v>
      </c>
    </row>
    <row r="238" spans="14:15">
      <c r="N238" s="110"/>
      <c r="O238" s="98" t="s">
        <v>2154</v>
      </c>
    </row>
    <row r="239" spans="14:15">
      <c r="N239" s="110"/>
      <c r="O239" s="98" t="s">
        <v>2155</v>
      </c>
    </row>
    <row r="240" spans="14:15">
      <c r="N240" s="110"/>
    </row>
    <row r="241" spans="14:15">
      <c r="N241" s="110" t="s">
        <v>2223</v>
      </c>
      <c r="O241" s="98" t="s">
        <v>2156</v>
      </c>
    </row>
    <row r="242" spans="14:15">
      <c r="N242" s="110"/>
    </row>
    <row r="243" spans="14:15">
      <c r="N243" s="110"/>
      <c r="O243" s="98" t="s">
        <v>2157</v>
      </c>
    </row>
    <row r="244" spans="14:15">
      <c r="N244" s="110"/>
      <c r="O244" s="98" t="s">
        <v>2158</v>
      </c>
    </row>
    <row r="245" spans="14:15">
      <c r="N245" s="110"/>
      <c r="O245" s="98" t="s">
        <v>2159</v>
      </c>
    </row>
    <row r="246" spans="14:15">
      <c r="N246" s="110"/>
    </row>
    <row r="247" spans="14:15">
      <c r="N247" s="110" t="s">
        <v>2223</v>
      </c>
      <c r="O247" s="98" t="s">
        <v>2160</v>
      </c>
    </row>
    <row r="248" spans="14:15">
      <c r="N248" s="110"/>
    </row>
    <row r="249" spans="14:15">
      <c r="N249" s="110"/>
      <c r="O249" s="98" t="s">
        <v>2161</v>
      </c>
    </row>
    <row r="250" spans="14:15">
      <c r="N250" s="110"/>
      <c r="O250" s="98" t="s">
        <v>2162</v>
      </c>
    </row>
    <row r="251" spans="14:15">
      <c r="N251" s="110"/>
      <c r="O251" s="98" t="s">
        <v>2163</v>
      </c>
    </row>
    <row r="252" spans="14:15">
      <c r="N252" s="110"/>
    </row>
    <row r="253" spans="14:15">
      <c r="N253" s="110"/>
      <c r="O253" s="98" t="s">
        <v>2164</v>
      </c>
    </row>
    <row r="254" spans="14:15">
      <c r="N254" s="110"/>
    </row>
    <row r="255" spans="14:15">
      <c r="N255" s="110"/>
      <c r="O255" s="98" t="s">
        <v>2165</v>
      </c>
    </row>
    <row r="256" spans="14:15">
      <c r="N256" s="110"/>
      <c r="O256" s="98" t="s">
        <v>2166</v>
      </c>
    </row>
    <row r="257" spans="14:15">
      <c r="N257" s="110"/>
      <c r="O257" s="98" t="s">
        <v>2167</v>
      </c>
    </row>
    <row r="258" spans="14:15">
      <c r="N258" s="110"/>
      <c r="O258" s="98" t="s">
        <v>2168</v>
      </c>
    </row>
    <row r="259" spans="14:15">
      <c r="N259" s="110"/>
      <c r="O259" s="98" t="s">
        <v>2036</v>
      </c>
    </row>
    <row r="260" spans="14:15">
      <c r="N260" s="110"/>
      <c r="O260" s="98" t="s">
        <v>2169</v>
      </c>
    </row>
    <row r="261" spans="14:15">
      <c r="N261" s="110"/>
    </row>
    <row r="262" spans="14:15">
      <c r="N262" s="110"/>
      <c r="O262" s="98" t="s">
        <v>2170</v>
      </c>
    </row>
    <row r="263" spans="14:15">
      <c r="N263" s="110"/>
    </row>
    <row r="264" spans="14:15">
      <c r="N264" s="110"/>
      <c r="O264" s="98" t="s">
        <v>2171</v>
      </c>
    </row>
    <row r="265" spans="14:15">
      <c r="N265" s="110"/>
      <c r="O265" s="98" t="s">
        <v>2172</v>
      </c>
    </row>
    <row r="266" spans="14:15">
      <c r="N266" s="110"/>
      <c r="O266" s="98" t="s">
        <v>2173</v>
      </c>
    </row>
    <row r="267" spans="14:15">
      <c r="N267" s="110"/>
      <c r="O267" s="98" t="s">
        <v>2174</v>
      </c>
    </row>
    <row r="268" spans="14:15">
      <c r="N268" s="110"/>
      <c r="O268" s="98" t="s">
        <v>2175</v>
      </c>
    </row>
    <row r="269" spans="14:15">
      <c r="N269" s="110"/>
    </row>
    <row r="270" spans="14:15">
      <c r="N270" s="110"/>
      <c r="O270" s="98" t="s">
        <v>2176</v>
      </c>
    </row>
    <row r="271" spans="14:15">
      <c r="N271" s="110"/>
    </row>
    <row r="272" spans="14:15">
      <c r="N272" s="110"/>
      <c r="O272" s="98" t="s">
        <v>2177</v>
      </c>
    </row>
    <row r="273" spans="14:15">
      <c r="N273" s="110"/>
      <c r="O273" s="98" t="s">
        <v>2178</v>
      </c>
    </row>
    <row r="274" spans="14:15">
      <c r="N274" s="110"/>
      <c r="O274" s="98" t="s">
        <v>2179</v>
      </c>
    </row>
    <row r="275" spans="14:15">
      <c r="N275" s="110"/>
    </row>
    <row r="276" spans="14:15">
      <c r="N276" s="110"/>
      <c r="O276" s="98" t="s">
        <v>2180</v>
      </c>
    </row>
    <row r="277" spans="14:15">
      <c r="N277" s="110"/>
    </row>
    <row r="278" spans="14:15">
      <c r="N278" s="110"/>
      <c r="O278" s="98" t="s">
        <v>2181</v>
      </c>
    </row>
    <row r="279" spans="14:15">
      <c r="N279" s="110"/>
      <c r="O279" s="98" t="s">
        <v>2182</v>
      </c>
    </row>
    <row r="280" spans="14:15">
      <c r="N280" s="110"/>
      <c r="O280" s="98" t="s">
        <v>2183</v>
      </c>
    </row>
    <row r="281" spans="14:15">
      <c r="N281" s="110"/>
      <c r="O281" s="98" t="s">
        <v>2184</v>
      </c>
    </row>
    <row r="282" spans="14:15">
      <c r="N282" s="110"/>
    </row>
    <row r="283" spans="14:15">
      <c r="N283" s="110"/>
      <c r="O283" s="98" t="s">
        <v>2185</v>
      </c>
    </row>
    <row r="284" spans="14:15">
      <c r="N284" s="110"/>
    </row>
    <row r="285" spans="14:15">
      <c r="N285" s="110"/>
      <c r="O285" s="98" t="s">
        <v>2186</v>
      </c>
    </row>
    <row r="286" spans="14:15">
      <c r="N286" s="110"/>
      <c r="O286" s="98" t="s">
        <v>2122</v>
      </c>
    </row>
    <row r="287" spans="14:15">
      <c r="N287" s="110"/>
      <c r="O287" s="98" t="s">
        <v>2187</v>
      </c>
    </row>
    <row r="288" spans="14:15">
      <c r="N288" s="110"/>
      <c r="O288" s="98" t="s">
        <v>2188</v>
      </c>
    </row>
    <row r="289" spans="14:15">
      <c r="N289" s="110"/>
      <c r="O289" s="98" t="s">
        <v>2189</v>
      </c>
    </row>
    <row r="290" spans="14:15">
      <c r="N290" s="110"/>
      <c r="O290" s="98" t="s">
        <v>2190</v>
      </c>
    </row>
    <row r="293" spans="14:15">
      <c r="O293" s="98" t="s">
        <v>2250</v>
      </c>
    </row>
    <row r="295" spans="14:15">
      <c r="O295" s="98" t="s">
        <v>2251</v>
      </c>
    </row>
    <row r="297" spans="14:15">
      <c r="O297" s="98" t="s">
        <v>1723</v>
      </c>
    </row>
    <row r="299" spans="14:15">
      <c r="O299" s="98" t="s">
        <v>2252</v>
      </c>
    </row>
    <row r="300" spans="14:15">
      <c r="O300" s="98" t="s">
        <v>2253</v>
      </c>
    </row>
    <row r="301" spans="14:15">
      <c r="O301" s="98" t="s">
        <v>2254</v>
      </c>
    </row>
    <row r="302" spans="14:15">
      <c r="O302" s="98" t="s">
        <v>2255</v>
      </c>
    </row>
    <row r="303" spans="14:15">
      <c r="O303" s="98" t="s">
        <v>2256</v>
      </c>
    </row>
    <row r="305" spans="15:15">
      <c r="O305" s="98" t="s">
        <v>2257</v>
      </c>
    </row>
    <row r="307" spans="15:15">
      <c r="O307" s="98" t="s">
        <v>2258</v>
      </c>
    </row>
    <row r="309" spans="15:15">
      <c r="O309" s="98" t="s">
        <v>2259</v>
      </c>
    </row>
    <row r="311" spans="15:15">
      <c r="O311" s="98" t="s">
        <v>2260</v>
      </c>
    </row>
    <row r="314" spans="15:15">
      <c r="O314" s="98" t="s">
        <v>2270</v>
      </c>
    </row>
    <row r="316" spans="15:15">
      <c r="O316" s="98" t="s">
        <v>2261</v>
      </c>
    </row>
    <row r="318" spans="15:15">
      <c r="O318" s="98" t="s">
        <v>2262</v>
      </c>
    </row>
    <row r="320" spans="15:15">
      <c r="O320" s="98" t="s">
        <v>2033</v>
      </c>
    </row>
    <row r="321" spans="15:15">
      <c r="O321" s="98" t="s">
        <v>2263</v>
      </c>
    </row>
    <row r="322" spans="15:15">
      <c r="O322" s="98" t="s">
        <v>2264</v>
      </c>
    </row>
    <row r="323" spans="15:15">
      <c r="O323" s="98" t="s">
        <v>2265</v>
      </c>
    </row>
    <row r="324" spans="15:15">
      <c r="O324" s="98" t="s">
        <v>2266</v>
      </c>
    </row>
    <row r="325" spans="15:15">
      <c r="O325" s="98" t="s">
        <v>2267</v>
      </c>
    </row>
    <row r="327" spans="15:15">
      <c r="O327" s="98" t="s">
        <v>2268</v>
      </c>
    </row>
    <row r="329" spans="15:15">
      <c r="O329" s="98" t="s">
        <v>2269</v>
      </c>
    </row>
    <row r="331" spans="15:15">
      <c r="O331" s="98" t="s">
        <v>2271</v>
      </c>
    </row>
    <row r="333" spans="15:15">
      <c r="O333" s="98" t="s">
        <v>2272</v>
      </c>
    </row>
    <row r="335" spans="15:15">
      <c r="O335" s="98" t="s">
        <v>2273</v>
      </c>
    </row>
    <row r="336" spans="15:15">
      <c r="O336" s="98" t="s">
        <v>2274</v>
      </c>
    </row>
    <row r="337" spans="15:15">
      <c r="O337" s="98" t="s">
        <v>2275</v>
      </c>
    </row>
    <row r="338" spans="15:15">
      <c r="O338" s="98" t="s">
        <v>2276</v>
      </c>
    </row>
    <row r="339" spans="15:15">
      <c r="O339" s="98" t="s">
        <v>2277</v>
      </c>
    </row>
    <row r="340" spans="15:15">
      <c r="O340" s="98" t="s">
        <v>2278</v>
      </c>
    </row>
    <row r="342" spans="15:15">
      <c r="O342" s="98" t="s">
        <v>2279</v>
      </c>
    </row>
    <row r="345" spans="15:15">
      <c r="O345" s="98" t="s">
        <v>2289</v>
      </c>
    </row>
    <row r="347" spans="15:15">
      <c r="O347" s="98" t="s">
        <v>1723</v>
      </c>
    </row>
    <row r="349" spans="15:15">
      <c r="O349" s="98" t="s">
        <v>2034</v>
      </c>
    </row>
    <row r="350" spans="15:15">
      <c r="O350" s="98" t="s">
        <v>2280</v>
      </c>
    </row>
    <row r="351" spans="15:15">
      <c r="O351" s="98" t="s">
        <v>2281</v>
      </c>
    </row>
    <row r="352" spans="15:15">
      <c r="O352" s="98" t="s">
        <v>2282</v>
      </c>
    </row>
    <row r="353" spans="15:15">
      <c r="O353" s="98" t="s">
        <v>2283</v>
      </c>
    </row>
    <row r="354" spans="15:15">
      <c r="O354" s="98" t="s">
        <v>2284</v>
      </c>
    </row>
    <row r="356" spans="15:15">
      <c r="O356" s="98" t="s">
        <v>2285</v>
      </c>
    </row>
    <row r="358" spans="15:15">
      <c r="O358" s="98" t="s">
        <v>2286</v>
      </c>
    </row>
    <row r="360" spans="15:15">
      <c r="O360" s="98" t="s">
        <v>2287</v>
      </c>
    </row>
    <row r="362" spans="15:15">
      <c r="O362" s="98" t="s">
        <v>2288</v>
      </c>
    </row>
    <row r="365" spans="15:15">
      <c r="O365" s="98" t="s">
        <v>2290</v>
      </c>
    </row>
    <row r="367" spans="15:15">
      <c r="O367" s="98" t="s">
        <v>2291</v>
      </c>
    </row>
    <row r="369" spans="15:15">
      <c r="O369" s="98" t="s">
        <v>2292</v>
      </c>
    </row>
    <row r="371" spans="15:15">
      <c r="O371" s="98" t="s">
        <v>2293</v>
      </c>
    </row>
    <row r="373" spans="15:15">
      <c r="O373" s="98" t="s">
        <v>2294</v>
      </c>
    </row>
    <row r="375" spans="15:15">
      <c r="O375" s="98" t="s">
        <v>1723</v>
      </c>
    </row>
    <row r="377" spans="15:15">
      <c r="O377" s="98" t="s">
        <v>2295</v>
      </c>
    </row>
    <row r="379" spans="15:15">
      <c r="O379" s="98" t="s">
        <v>2296</v>
      </c>
    </row>
    <row r="381" spans="15:15">
      <c r="O381" s="98" t="s">
        <v>2297</v>
      </c>
    </row>
    <row r="383" spans="15:15">
      <c r="O383" s="98" t="s">
        <v>2298</v>
      </c>
    </row>
    <row r="384" spans="15:15">
      <c r="O384" s="98" t="s">
        <v>2299</v>
      </c>
    </row>
    <row r="385" spans="15:15">
      <c r="O385" s="98" t="s">
        <v>2300</v>
      </c>
    </row>
    <row r="387" spans="15:15">
      <c r="O387" s="98" t="s">
        <v>2301</v>
      </c>
    </row>
    <row r="389" spans="15:15">
      <c r="O389" s="98" t="s">
        <v>2302</v>
      </c>
    </row>
    <row r="391" spans="15:15">
      <c r="O391" s="98" t="s">
        <v>2303</v>
      </c>
    </row>
    <row r="393" spans="15:15">
      <c r="O393" s="98" t="s">
        <v>2304</v>
      </c>
    </row>
    <row r="397" spans="15:15">
      <c r="O397" s="98" t="s">
        <v>2305</v>
      </c>
    </row>
    <row r="399" spans="15:15">
      <c r="O399" s="98" t="s">
        <v>2306</v>
      </c>
    </row>
    <row r="401" spans="15:15">
      <c r="O401" s="98" t="s">
        <v>2307</v>
      </c>
    </row>
    <row r="403" spans="15:15">
      <c r="O403" s="98" t="s">
        <v>2308</v>
      </c>
    </row>
    <row r="405" spans="15:15">
      <c r="O405" s="98" t="s">
        <v>2309</v>
      </c>
    </row>
    <row r="407" spans="15:15">
      <c r="O407" s="98" t="s">
        <v>2285</v>
      </c>
    </row>
    <row r="409" spans="15:15">
      <c r="O409" s="98" t="s">
        <v>2310</v>
      </c>
    </row>
    <row r="410" spans="15:15">
      <c r="O410" s="98" t="s">
        <v>2311</v>
      </c>
    </row>
    <row r="411" spans="15:15">
      <c r="O411" s="98" t="s">
        <v>2312</v>
      </c>
    </row>
    <row r="413" spans="15:15">
      <c r="O413" s="98" t="s">
        <v>2313</v>
      </c>
    </row>
    <row r="415" spans="15:15">
      <c r="O415" s="98" t="s">
        <v>2314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139"/>
  <sheetViews>
    <sheetView topLeftCell="A76" workbookViewId="0">
      <selection activeCell="C115" sqref="C115"/>
    </sheetView>
  </sheetViews>
  <sheetFormatPr defaultColWidth="9" defaultRowHeight="13.5"/>
  <cols>
    <col min="1" max="1" width="11.875" style="1" customWidth="1"/>
    <col min="2" max="6" width="10.8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.75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  <row r="83" spans="2:11">
      <c r="B83" s="1" t="s">
        <v>2315</v>
      </c>
      <c r="C83" s="1" t="s">
        <v>2316</v>
      </c>
      <c r="D83" s="1" t="s">
        <v>2317</v>
      </c>
      <c r="E83" s="1" t="s">
        <v>2318</v>
      </c>
    </row>
    <row r="84" spans="2:11">
      <c r="B84" s="1" t="s">
        <v>2361</v>
      </c>
      <c r="C84" s="1" t="s">
        <v>2319</v>
      </c>
      <c r="D84" s="1" t="s">
        <v>2235</v>
      </c>
      <c r="E84" s="1" t="s">
        <v>2320</v>
      </c>
      <c r="K84" s="1" t="s">
        <v>2358</v>
      </c>
    </row>
    <row r="85" spans="2:11">
      <c r="B85" s="1" t="s">
        <v>2357</v>
      </c>
      <c r="C85" s="1" t="s">
        <v>2319</v>
      </c>
      <c r="D85" s="1" t="s">
        <v>2235</v>
      </c>
      <c r="E85" s="1" t="s">
        <v>2321</v>
      </c>
      <c r="K85" s="1" t="s">
        <v>2358</v>
      </c>
    </row>
    <row r="86" spans="2:11">
      <c r="B86" s="1" t="s">
        <v>2363</v>
      </c>
      <c r="C86" s="1" t="s">
        <v>2319</v>
      </c>
      <c r="D86" s="1" t="s">
        <v>2235</v>
      </c>
      <c r="E86" s="1" t="s">
        <v>2322</v>
      </c>
    </row>
    <row r="87" spans="2:11">
      <c r="B87" s="1" t="s">
        <v>2323</v>
      </c>
      <c r="C87" s="1" t="s">
        <v>2319</v>
      </c>
      <c r="D87" s="1" t="s">
        <v>2235</v>
      </c>
      <c r="E87" s="1" t="s">
        <v>2324</v>
      </c>
    </row>
    <row r="88" spans="2:11">
      <c r="B88" s="1" t="s">
        <v>2376</v>
      </c>
      <c r="C88" s="1" t="s">
        <v>2319</v>
      </c>
      <c r="D88" s="1" t="s">
        <v>2235</v>
      </c>
      <c r="E88" s="1" t="s">
        <v>2326</v>
      </c>
      <c r="K88" s="1" t="s">
        <v>2347</v>
      </c>
    </row>
    <row r="89" spans="2:11">
      <c r="B89" s="1" t="s">
        <v>2351</v>
      </c>
      <c r="C89" s="1" t="s">
        <v>2319</v>
      </c>
      <c r="D89" s="1" t="s">
        <v>2238</v>
      </c>
      <c r="E89" s="1" t="s">
        <v>2327</v>
      </c>
      <c r="K89" s="1" t="s">
        <v>2352</v>
      </c>
    </row>
    <row r="90" spans="2:11">
      <c r="B90" s="1" t="s">
        <v>2348</v>
      </c>
      <c r="C90" s="1" t="s">
        <v>2319</v>
      </c>
      <c r="D90" s="1" t="s">
        <v>2235</v>
      </c>
      <c r="E90" s="1" t="s">
        <v>2328</v>
      </c>
      <c r="K90" s="1" t="s">
        <v>2349</v>
      </c>
    </row>
    <row r="91" spans="2:11">
      <c r="B91" s="1" t="s">
        <v>2329</v>
      </c>
      <c r="C91" s="1" t="s">
        <v>2330</v>
      </c>
      <c r="D91" s="1" t="s">
        <v>2331</v>
      </c>
      <c r="E91" s="1" t="s">
        <v>2332</v>
      </c>
    </row>
    <row r="92" spans="2:11">
      <c r="B92" s="1" t="s">
        <v>2350</v>
      </c>
      <c r="C92" s="1" t="s">
        <v>2319</v>
      </c>
      <c r="D92" s="1" t="s">
        <v>2238</v>
      </c>
      <c r="E92" s="1" t="s">
        <v>2333</v>
      </c>
      <c r="K92" s="1" t="s">
        <v>2372</v>
      </c>
    </row>
    <row r="93" spans="2:11">
      <c r="B93" s="1" t="s">
        <v>2359</v>
      </c>
      <c r="C93" s="1" t="s">
        <v>2330</v>
      </c>
      <c r="D93" s="1" t="s">
        <v>2238</v>
      </c>
      <c r="E93" s="1" t="s">
        <v>2334</v>
      </c>
    </row>
    <row r="94" spans="2:11">
      <c r="B94" s="1" t="s">
        <v>1545</v>
      </c>
      <c r="C94" s="1" t="s">
        <v>2330</v>
      </c>
      <c r="D94" s="1" t="s">
        <v>2238</v>
      </c>
      <c r="E94" s="1" t="s">
        <v>2335</v>
      </c>
    </row>
    <row r="95" spans="2:11">
      <c r="B95" s="1" t="s">
        <v>2370</v>
      </c>
      <c r="C95" s="1" t="s">
        <v>2330</v>
      </c>
      <c r="D95" s="1" t="s">
        <v>2238</v>
      </c>
      <c r="E95" s="1" t="s">
        <v>2336</v>
      </c>
    </row>
    <row r="96" spans="2:11">
      <c r="B96" s="1" t="s">
        <v>2344</v>
      </c>
      <c r="C96" s="1" t="s">
        <v>2319</v>
      </c>
      <c r="D96" s="1" t="s">
        <v>2238</v>
      </c>
      <c r="E96" s="1" t="s">
        <v>2337</v>
      </c>
    </row>
    <row r="97" spans="1:7">
      <c r="B97" s="1" t="s">
        <v>2338</v>
      </c>
      <c r="C97" s="1" t="s">
        <v>2319</v>
      </c>
      <c r="D97" s="1" t="s">
        <v>2238</v>
      </c>
      <c r="E97" s="1" t="s">
        <v>2339</v>
      </c>
    </row>
    <row r="98" spans="1:7">
      <c r="B98" s="1" t="s">
        <v>2371</v>
      </c>
      <c r="C98" s="1" t="s">
        <v>2330</v>
      </c>
      <c r="D98" s="1" t="s">
        <v>2331</v>
      </c>
      <c r="E98" s="1" t="s">
        <v>2341</v>
      </c>
    </row>
    <row r="99" spans="1:7">
      <c r="B99" s="1" t="s">
        <v>2360</v>
      </c>
      <c r="C99" s="1" t="s">
        <v>2342</v>
      </c>
      <c r="D99" s="1" t="s">
        <v>2235</v>
      </c>
      <c r="E99" s="1" t="s">
        <v>2343</v>
      </c>
    </row>
    <row r="101" spans="1:7">
      <c r="B101" s="1" t="s">
        <v>2345</v>
      </c>
      <c r="G101" s="1" t="s">
        <v>2362</v>
      </c>
    </row>
    <row r="102" spans="1:7">
      <c r="B102" s="1" t="s">
        <v>2368</v>
      </c>
    </row>
    <row r="103" spans="1:7">
      <c r="B103" s="1" t="s">
        <v>2353</v>
      </c>
      <c r="G103" s="1" t="s">
        <v>2354</v>
      </c>
    </row>
    <row r="104" spans="1:7">
      <c r="B104" s="1" t="s">
        <v>2355</v>
      </c>
      <c r="G104" s="1" t="s">
        <v>2356</v>
      </c>
    </row>
    <row r="106" spans="1:7">
      <c r="B106" s="1" t="s">
        <v>2374</v>
      </c>
    </row>
    <row r="107" spans="1:7">
      <c r="B107" s="1" t="s">
        <v>2373</v>
      </c>
    </row>
    <row r="108" spans="1:7">
      <c r="B108" s="1" t="s">
        <v>2346</v>
      </c>
    </row>
    <row r="110" spans="1:7">
      <c r="A110" s="1" t="s">
        <v>2440</v>
      </c>
    </row>
    <row r="111" spans="1:7" ht="18">
      <c r="B111" s="103" t="s">
        <v>2315</v>
      </c>
      <c r="C111" s="103" t="s">
        <v>2377</v>
      </c>
      <c r="D111" s="103" t="s">
        <v>2378</v>
      </c>
      <c r="E111" s="103" t="s">
        <v>2379</v>
      </c>
      <c r="F111" s="103" t="s">
        <v>2380</v>
      </c>
      <c r="G111" s="103" t="s">
        <v>2381</v>
      </c>
    </row>
    <row r="112" spans="1:7" ht="18.75">
      <c r="A112" s="1" t="s">
        <v>2439</v>
      </c>
      <c r="B112" s="111" t="s">
        <v>2382</v>
      </c>
      <c r="C112" s="104" t="s">
        <v>2235</v>
      </c>
      <c r="D112" s="104" t="s">
        <v>2383</v>
      </c>
      <c r="E112" s="104" t="s">
        <v>2238</v>
      </c>
      <c r="F112" s="104" t="s">
        <v>2384</v>
      </c>
      <c r="G112" s="112" t="s">
        <v>2385</v>
      </c>
    </row>
    <row r="113" spans="2:7" ht="18.75">
      <c r="B113" s="111" t="s">
        <v>2386</v>
      </c>
      <c r="C113" s="104" t="s">
        <v>2235</v>
      </c>
      <c r="D113" s="104" t="s">
        <v>2387</v>
      </c>
      <c r="E113" s="104" t="s">
        <v>2235</v>
      </c>
      <c r="F113" s="104" t="s">
        <v>2384</v>
      </c>
      <c r="G113" s="112" t="s">
        <v>2388</v>
      </c>
    </row>
    <row r="114" spans="2:7" ht="18.75">
      <c r="B114" s="111" t="s">
        <v>2389</v>
      </c>
      <c r="C114" s="104" t="s">
        <v>2235</v>
      </c>
      <c r="D114" s="104" t="s">
        <v>2383</v>
      </c>
      <c r="E114" s="104" t="s">
        <v>2235</v>
      </c>
      <c r="F114" s="104" t="s">
        <v>2384</v>
      </c>
      <c r="G114" s="112" t="s">
        <v>2390</v>
      </c>
    </row>
    <row r="115" spans="2:7" ht="18.75">
      <c r="B115" s="111" t="s">
        <v>2391</v>
      </c>
      <c r="C115" s="104" t="s">
        <v>2235</v>
      </c>
      <c r="D115" s="104" t="s">
        <v>2392</v>
      </c>
      <c r="E115" s="104" t="s">
        <v>2235</v>
      </c>
      <c r="F115" s="104" t="s">
        <v>2384</v>
      </c>
      <c r="G115" s="112" t="s">
        <v>2393</v>
      </c>
    </row>
    <row r="116" spans="2:7" ht="18.75">
      <c r="B116" s="111" t="s">
        <v>2394</v>
      </c>
      <c r="C116" s="104" t="s">
        <v>2235</v>
      </c>
      <c r="D116" s="104" t="s">
        <v>2387</v>
      </c>
      <c r="E116" s="104" t="s">
        <v>2235</v>
      </c>
      <c r="F116" s="104" t="s">
        <v>2384</v>
      </c>
      <c r="G116" s="112" t="s">
        <v>2395</v>
      </c>
    </row>
    <row r="117" spans="2:7" ht="18.75">
      <c r="B117" s="111" t="s">
        <v>2396</v>
      </c>
      <c r="C117" s="104" t="s">
        <v>2235</v>
      </c>
      <c r="D117" s="104" t="s">
        <v>2387</v>
      </c>
      <c r="E117" s="104" t="s">
        <v>2235</v>
      </c>
      <c r="F117" s="104" t="s">
        <v>2384</v>
      </c>
      <c r="G117" s="112" t="s">
        <v>2397</v>
      </c>
    </row>
    <row r="118" spans="2:7" ht="18.75">
      <c r="B118" s="111" t="s">
        <v>2398</v>
      </c>
      <c r="C118" s="104" t="s">
        <v>2235</v>
      </c>
      <c r="D118" s="104" t="s">
        <v>2383</v>
      </c>
      <c r="E118" s="104" t="s">
        <v>2238</v>
      </c>
      <c r="F118" s="104" t="s">
        <v>2384</v>
      </c>
      <c r="G118" s="112" t="s">
        <v>2399</v>
      </c>
    </row>
    <row r="119" spans="2:7" ht="18.75">
      <c r="B119" s="111" t="s">
        <v>2369</v>
      </c>
      <c r="C119" s="104" t="s">
        <v>2235</v>
      </c>
      <c r="D119" s="104" t="s">
        <v>2387</v>
      </c>
      <c r="E119" s="104" t="s">
        <v>2235</v>
      </c>
      <c r="F119" s="104" t="s">
        <v>2400</v>
      </c>
      <c r="G119" s="112" t="s">
        <v>2401</v>
      </c>
    </row>
    <row r="120" spans="2:7" ht="36">
      <c r="B120" s="111" t="s">
        <v>2340</v>
      </c>
      <c r="C120" s="104" t="s">
        <v>2235</v>
      </c>
      <c r="D120" s="104" t="s">
        <v>2402</v>
      </c>
      <c r="E120" s="104" t="s">
        <v>2235</v>
      </c>
      <c r="F120" s="104" t="s">
        <v>2400</v>
      </c>
      <c r="G120" s="112" t="s">
        <v>2403</v>
      </c>
    </row>
    <row r="121" spans="2:7" ht="18.75">
      <c r="B121" s="111" t="s">
        <v>2404</v>
      </c>
      <c r="C121" s="104" t="s">
        <v>2238</v>
      </c>
      <c r="D121" s="104" t="s">
        <v>2342</v>
      </c>
      <c r="E121" s="104" t="s">
        <v>2235</v>
      </c>
      <c r="F121" s="104" t="s">
        <v>2400</v>
      </c>
      <c r="G121" s="112" t="s">
        <v>2405</v>
      </c>
    </row>
    <row r="122" spans="2:7" ht="18.75">
      <c r="B122" s="111" t="s">
        <v>2406</v>
      </c>
      <c r="C122" s="104" t="s">
        <v>2238</v>
      </c>
      <c r="D122" s="104" t="s">
        <v>2392</v>
      </c>
      <c r="E122" s="104" t="s">
        <v>2235</v>
      </c>
      <c r="F122" s="104" t="s">
        <v>2400</v>
      </c>
      <c r="G122" s="112" t="s">
        <v>2407</v>
      </c>
    </row>
    <row r="123" spans="2:7" ht="18.75">
      <c r="B123" s="111" t="s">
        <v>2375</v>
      </c>
      <c r="C123" s="104" t="s">
        <v>2238</v>
      </c>
      <c r="D123" s="104" t="s">
        <v>2342</v>
      </c>
      <c r="E123" s="104" t="s">
        <v>2235</v>
      </c>
      <c r="F123" s="104" t="s">
        <v>2400</v>
      </c>
      <c r="G123" s="112" t="s">
        <v>2408</v>
      </c>
    </row>
    <row r="124" spans="2:7" ht="18.75">
      <c r="B124" s="111" t="s">
        <v>2409</v>
      </c>
      <c r="C124" s="104" t="s">
        <v>2235</v>
      </c>
      <c r="D124" s="104" t="s">
        <v>2387</v>
      </c>
      <c r="E124" s="104" t="s">
        <v>2238</v>
      </c>
      <c r="F124" s="104" t="s">
        <v>2400</v>
      </c>
      <c r="G124" s="112" t="s">
        <v>2410</v>
      </c>
    </row>
    <row r="125" spans="2:7" ht="18.75">
      <c r="B125" s="111" t="s">
        <v>2411</v>
      </c>
      <c r="C125" s="104" t="s">
        <v>2235</v>
      </c>
      <c r="D125" s="104" t="s">
        <v>2387</v>
      </c>
      <c r="E125" s="104" t="s">
        <v>2235</v>
      </c>
      <c r="F125" s="104" t="s">
        <v>2400</v>
      </c>
      <c r="G125" s="112" t="s">
        <v>2412</v>
      </c>
    </row>
    <row r="126" spans="2:7" ht="18.75">
      <c r="B126" s="111" t="s">
        <v>2413</v>
      </c>
      <c r="C126" s="104" t="s">
        <v>2238</v>
      </c>
      <c r="D126" s="104" t="s">
        <v>2387</v>
      </c>
      <c r="E126" s="104" t="s">
        <v>2238</v>
      </c>
      <c r="F126" s="104" t="s">
        <v>2400</v>
      </c>
      <c r="G126" s="112" t="s">
        <v>2414</v>
      </c>
    </row>
    <row r="127" spans="2:7" ht="18.75">
      <c r="B127" s="111" t="s">
        <v>2441</v>
      </c>
      <c r="C127" s="104" t="s">
        <v>2235</v>
      </c>
      <c r="D127" s="104" t="s">
        <v>2383</v>
      </c>
      <c r="E127" s="104" t="s">
        <v>2238</v>
      </c>
      <c r="F127" s="104" t="s">
        <v>2384</v>
      </c>
      <c r="G127" s="112" t="s">
        <v>2415</v>
      </c>
    </row>
    <row r="128" spans="2:7" ht="18.75">
      <c r="B128" s="111" t="s">
        <v>2416</v>
      </c>
      <c r="C128" s="104" t="s">
        <v>2238</v>
      </c>
      <c r="D128" s="104" t="s">
        <v>2387</v>
      </c>
      <c r="E128" s="104" t="s">
        <v>2238</v>
      </c>
      <c r="F128" s="104" t="s">
        <v>2400</v>
      </c>
      <c r="G128" s="112" t="s">
        <v>2417</v>
      </c>
    </row>
    <row r="129" spans="2:7" ht="18.75">
      <c r="B129" s="111" t="s">
        <v>2325</v>
      </c>
      <c r="C129" s="104" t="s">
        <v>2238</v>
      </c>
      <c r="D129" s="104" t="s">
        <v>2392</v>
      </c>
      <c r="E129" s="104" t="s">
        <v>2238</v>
      </c>
      <c r="F129" s="104" t="s">
        <v>2400</v>
      </c>
      <c r="G129" s="112" t="s">
        <v>2418</v>
      </c>
    </row>
    <row r="130" spans="2:7" ht="18.75">
      <c r="B130" s="111" t="s">
        <v>2419</v>
      </c>
      <c r="C130" s="104" t="s">
        <v>2238</v>
      </c>
      <c r="D130" s="104" t="s">
        <v>2342</v>
      </c>
      <c r="E130" s="104" t="s">
        <v>2235</v>
      </c>
      <c r="F130" s="104" t="s">
        <v>2400</v>
      </c>
      <c r="G130" s="113" t="s">
        <v>2420</v>
      </c>
    </row>
    <row r="131" spans="2:7" ht="18.75">
      <c r="B131" s="111" t="s">
        <v>2421</v>
      </c>
      <c r="C131" s="104" t="s">
        <v>2238</v>
      </c>
      <c r="D131" s="104" t="s">
        <v>2392</v>
      </c>
      <c r="E131" s="104" t="s">
        <v>2235</v>
      </c>
      <c r="F131" s="104" t="s">
        <v>2400</v>
      </c>
      <c r="G131" s="112" t="s">
        <v>2422</v>
      </c>
    </row>
    <row r="132" spans="2:7" ht="18.75">
      <c r="B132" s="111" t="s">
        <v>2423</v>
      </c>
      <c r="C132" s="104" t="s">
        <v>2238</v>
      </c>
      <c r="D132" s="104" t="s">
        <v>2342</v>
      </c>
      <c r="E132" s="104" t="s">
        <v>2235</v>
      </c>
      <c r="F132" s="104" t="s">
        <v>2424</v>
      </c>
      <c r="G132" s="112" t="s">
        <v>2425</v>
      </c>
    </row>
    <row r="133" spans="2:7" ht="18.75">
      <c r="B133" s="111" t="s">
        <v>2426</v>
      </c>
      <c r="C133" s="104" t="s">
        <v>2238</v>
      </c>
      <c r="D133" s="104" t="s">
        <v>2392</v>
      </c>
      <c r="E133" s="104" t="s">
        <v>2238</v>
      </c>
      <c r="F133" s="104" t="s">
        <v>2424</v>
      </c>
      <c r="G133" s="112" t="s">
        <v>2427</v>
      </c>
    </row>
    <row r="134" spans="2:7" ht="18.75">
      <c r="B134" s="111" t="s">
        <v>2428</v>
      </c>
      <c r="C134" s="104" t="s">
        <v>2238</v>
      </c>
      <c r="D134" s="104" t="s">
        <v>2342</v>
      </c>
      <c r="E134" s="104" t="s">
        <v>2235</v>
      </c>
      <c r="F134" s="104" t="s">
        <v>2424</v>
      </c>
      <c r="G134" s="112" t="s">
        <v>2429</v>
      </c>
    </row>
    <row r="135" spans="2:7" ht="18.75">
      <c r="B135" s="111" t="s">
        <v>2430</v>
      </c>
      <c r="C135" s="104" t="s">
        <v>2238</v>
      </c>
      <c r="D135" s="104" t="s">
        <v>2342</v>
      </c>
      <c r="E135" s="104" t="s">
        <v>2238</v>
      </c>
      <c r="F135" s="104" t="s">
        <v>2424</v>
      </c>
      <c r="G135" s="112" t="s">
        <v>2431</v>
      </c>
    </row>
    <row r="136" spans="2:7" ht="18.75">
      <c r="B136" s="111" t="s">
        <v>2338</v>
      </c>
      <c r="C136" s="104" t="s">
        <v>2238</v>
      </c>
      <c r="D136" s="104" t="s">
        <v>2402</v>
      </c>
      <c r="E136" s="104" t="s">
        <v>2235</v>
      </c>
      <c r="F136" s="104" t="s">
        <v>2424</v>
      </c>
      <c r="G136" s="112" t="s">
        <v>2432</v>
      </c>
    </row>
    <row r="137" spans="2:7" ht="18.75">
      <c r="B137" s="111" t="s">
        <v>2433</v>
      </c>
      <c r="C137" s="104" t="s">
        <v>2238</v>
      </c>
      <c r="D137" s="104" t="s">
        <v>2383</v>
      </c>
      <c r="E137" s="104" t="s">
        <v>2235</v>
      </c>
      <c r="F137" s="104" t="s">
        <v>2400</v>
      </c>
      <c r="G137" s="112" t="s">
        <v>2434</v>
      </c>
    </row>
    <row r="138" spans="2:7" ht="18.75">
      <c r="B138" s="111" t="s">
        <v>2435</v>
      </c>
      <c r="C138" s="104" t="s">
        <v>2238</v>
      </c>
      <c r="D138" s="104" t="s">
        <v>2342</v>
      </c>
      <c r="E138" s="104" t="s">
        <v>2235</v>
      </c>
      <c r="F138" s="104" t="s">
        <v>2424</v>
      </c>
      <c r="G138" s="112" t="s">
        <v>2436</v>
      </c>
    </row>
    <row r="139" spans="2:7" ht="18.75">
      <c r="B139" s="111" t="s">
        <v>2437</v>
      </c>
      <c r="C139" s="104" t="s">
        <v>2238</v>
      </c>
      <c r="D139" s="104" t="s">
        <v>2387</v>
      </c>
      <c r="E139" s="104" t="s">
        <v>2238</v>
      </c>
      <c r="F139" s="104" t="s">
        <v>2424</v>
      </c>
      <c r="G139" s="112" t="s">
        <v>2438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opLeftCell="A43" zoomScaleNormal="100" workbookViewId="0">
      <selection activeCell="B2" sqref="B2:B13"/>
    </sheetView>
  </sheetViews>
  <sheetFormatPr defaultColWidth="8.75" defaultRowHeight="13.5"/>
  <cols>
    <col min="1" max="16384" width="8.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.75"/>
  <cols>
    <col min="13" max="13" width="8.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9.5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9.5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9.5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9.5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.75"/>
  <cols>
    <col min="2" max="2" width="8.75" style="73"/>
    <col min="3" max="3" width="10.625" customWidth="1"/>
    <col min="6" max="6" width="10.875" customWidth="1"/>
  </cols>
  <sheetData>
    <row r="3" spans="2:10">
      <c r="B3" t="s">
        <v>1853</v>
      </c>
    </row>
    <row r="5" spans="2:10">
      <c r="C5" t="s">
        <v>1780</v>
      </c>
    </row>
    <row r="7" spans="2:10">
      <c r="C7" t="s">
        <v>1781</v>
      </c>
      <c r="E7" t="s">
        <v>1782</v>
      </c>
    </row>
    <row r="8" spans="2:10">
      <c r="C8" t="s">
        <v>1783</v>
      </c>
      <c r="E8" t="s">
        <v>1784</v>
      </c>
    </row>
    <row r="9" spans="2:10">
      <c r="C9" t="s">
        <v>1785</v>
      </c>
      <c r="E9" t="s">
        <v>1786</v>
      </c>
    </row>
    <row r="11" spans="2:10">
      <c r="C11" t="s">
        <v>1787</v>
      </c>
      <c r="E11" t="s">
        <v>1791</v>
      </c>
      <c r="H11" t="s">
        <v>1796</v>
      </c>
      <c r="J11" t="s">
        <v>1788</v>
      </c>
    </row>
    <row r="12" spans="2:10">
      <c r="E12" t="s">
        <v>1792</v>
      </c>
      <c r="J12" t="s">
        <v>1590</v>
      </c>
    </row>
    <row r="13" spans="2:10">
      <c r="E13" t="s">
        <v>1793</v>
      </c>
    </row>
    <row r="14" spans="2:10">
      <c r="E14" t="s">
        <v>1794</v>
      </c>
      <c r="J14" t="s">
        <v>1596</v>
      </c>
    </row>
    <row r="15" spans="2:10">
      <c r="E15" t="s">
        <v>1795</v>
      </c>
      <c r="J15" t="s">
        <v>1789</v>
      </c>
    </row>
    <row r="16" spans="2:10">
      <c r="J16" t="s">
        <v>1590</v>
      </c>
    </row>
    <row r="17" spans="2:12">
      <c r="L17" t="s">
        <v>1797</v>
      </c>
    </row>
    <row r="18" spans="2:12">
      <c r="J18" t="s">
        <v>1596</v>
      </c>
    </row>
    <row r="19" spans="2:12">
      <c r="J19" t="s">
        <v>1790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1806</v>
      </c>
    </row>
    <row r="26" spans="2:12">
      <c r="C26" t="s">
        <v>1798</v>
      </c>
    </row>
    <row r="27" spans="2:12">
      <c r="D27" t="s">
        <v>1799</v>
      </c>
    </row>
    <row r="28" spans="2:12">
      <c r="D28" t="s">
        <v>1800</v>
      </c>
    </row>
    <row r="29" spans="2:12">
      <c r="D29" t="s">
        <v>1801</v>
      </c>
    </row>
    <row r="30" spans="2:12">
      <c r="D30" t="s">
        <v>1802</v>
      </c>
    </row>
    <row r="31" spans="2:12">
      <c r="C31" t="s">
        <v>1803</v>
      </c>
    </row>
    <row r="32" spans="2:12">
      <c r="D32" t="s">
        <v>1804</v>
      </c>
    </row>
    <row r="33" spans="2:7">
      <c r="D33" t="s">
        <v>1854</v>
      </c>
    </row>
    <row r="35" spans="2:7">
      <c r="D35" t="s">
        <v>1617</v>
      </c>
    </row>
    <row r="37" spans="2:7">
      <c r="D37" t="s">
        <v>1805</v>
      </c>
    </row>
    <row r="39" spans="2:7">
      <c r="B39" t="s">
        <v>1808</v>
      </c>
    </row>
    <row r="40" spans="2:7">
      <c r="C40" t="s">
        <v>1809</v>
      </c>
      <c r="D40" t="s">
        <v>1811</v>
      </c>
      <c r="G40" t="s">
        <v>1815</v>
      </c>
    </row>
    <row r="41" spans="2:7">
      <c r="D41" t="s">
        <v>1812</v>
      </c>
    </row>
    <row r="42" spans="2:7">
      <c r="C42" t="s">
        <v>1800</v>
      </c>
      <c r="D42" t="s">
        <v>1813</v>
      </c>
      <c r="G42" t="s">
        <v>1617</v>
      </c>
    </row>
    <row r="43" spans="2:7">
      <c r="D43" t="s">
        <v>1814</v>
      </c>
    </row>
    <row r="44" spans="2:7">
      <c r="C44" t="s">
        <v>1810</v>
      </c>
      <c r="G44" t="s">
        <v>1805</v>
      </c>
    </row>
    <row r="47" spans="2:7">
      <c r="B47" t="s">
        <v>1816</v>
      </c>
    </row>
    <row r="49" spans="2:5">
      <c r="C49" t="s">
        <v>1817</v>
      </c>
      <c r="E49" t="s">
        <v>1822</v>
      </c>
    </row>
    <row r="50" spans="2:5">
      <c r="C50" t="s">
        <v>1818</v>
      </c>
      <c r="E50" t="s">
        <v>1823</v>
      </c>
    </row>
    <row r="51" spans="2:5">
      <c r="C51" t="s">
        <v>1819</v>
      </c>
      <c r="E51" t="s">
        <v>1824</v>
      </c>
    </row>
    <row r="52" spans="2:5">
      <c r="C52" t="s">
        <v>1820</v>
      </c>
    </row>
    <row r="53" spans="2:5">
      <c r="C53" t="s">
        <v>1821</v>
      </c>
    </row>
    <row r="56" spans="2:5">
      <c r="B56" t="s">
        <v>1838</v>
      </c>
    </row>
    <row r="58" spans="2:5">
      <c r="C58" t="s">
        <v>1840</v>
      </c>
    </row>
    <row r="60" spans="2:5">
      <c r="B60" t="s">
        <v>1850</v>
      </c>
    </row>
    <row r="62" spans="2:5">
      <c r="D62" t="s">
        <v>1826</v>
      </c>
    </row>
    <row r="63" spans="2:5">
      <c r="D63" t="s">
        <v>1841</v>
      </c>
    </row>
    <row r="64" spans="2:5">
      <c r="D64" t="s">
        <v>1842</v>
      </c>
    </row>
    <row r="65" spans="2:5">
      <c r="D65" t="s">
        <v>1841</v>
      </c>
    </row>
    <row r="66" spans="2:5">
      <c r="D66" t="s">
        <v>1843</v>
      </c>
    </row>
    <row r="67" spans="2:5">
      <c r="D67" t="s">
        <v>1841</v>
      </c>
    </row>
    <row r="68" spans="2:5">
      <c r="D68" t="s">
        <v>1844</v>
      </c>
    </row>
    <row r="69" spans="2:5">
      <c r="D69" t="s">
        <v>1841</v>
      </c>
    </row>
    <row r="70" spans="2:5">
      <c r="D70" t="s">
        <v>1845</v>
      </c>
    </row>
    <row r="71" spans="2:5">
      <c r="D71" t="s">
        <v>1841</v>
      </c>
    </row>
    <row r="72" spans="2:5">
      <c r="D72" t="s">
        <v>1846</v>
      </c>
      <c r="E72" t="s">
        <v>1851</v>
      </c>
    </row>
    <row r="73" spans="2:5">
      <c r="D73" t="s">
        <v>1847</v>
      </c>
    </row>
    <row r="74" spans="2:5">
      <c r="D74" t="s">
        <v>1839</v>
      </c>
    </row>
    <row r="75" spans="2:5">
      <c r="D75" t="s">
        <v>1841</v>
      </c>
    </row>
    <row r="76" spans="2:5">
      <c r="D76" t="s">
        <v>1848</v>
      </c>
    </row>
    <row r="77" spans="2:5">
      <c r="D77" t="s">
        <v>1841</v>
      </c>
    </row>
    <row r="78" spans="2:5">
      <c r="D78" t="s">
        <v>1849</v>
      </c>
    </row>
    <row r="80" spans="2:5">
      <c r="B80" t="s">
        <v>1825</v>
      </c>
    </row>
    <row r="82" spans="2:11">
      <c r="C82" t="s">
        <v>1826</v>
      </c>
      <c r="F82" s="103" t="s">
        <v>1830</v>
      </c>
      <c r="G82" s="103" t="s">
        <v>1831</v>
      </c>
      <c r="H82" s="103" t="s">
        <v>1832</v>
      </c>
      <c r="J82" t="s">
        <v>1835</v>
      </c>
    </row>
    <row r="83" spans="2:11">
      <c r="C83" t="s">
        <v>1799</v>
      </c>
      <c r="F83" s="104" t="s">
        <v>1833</v>
      </c>
      <c r="G83" s="104">
        <v>1440</v>
      </c>
      <c r="H83" s="104">
        <v>180</v>
      </c>
      <c r="J83" t="s">
        <v>1836</v>
      </c>
    </row>
    <row r="84" spans="2:11">
      <c r="C84" t="s">
        <v>1827</v>
      </c>
      <c r="F84" s="104" t="s">
        <v>1807</v>
      </c>
      <c r="G84" s="104">
        <v>30</v>
      </c>
      <c r="H84" s="104">
        <v>10</v>
      </c>
      <c r="J84" t="s">
        <v>1837</v>
      </c>
    </row>
    <row r="85" spans="2:11">
      <c r="C85" t="s">
        <v>1828</v>
      </c>
      <c r="F85" s="104" t="s">
        <v>1834</v>
      </c>
      <c r="G85" s="104">
        <v>5</v>
      </c>
      <c r="H85" s="104">
        <v>2</v>
      </c>
    </row>
    <row r="86" spans="2:11">
      <c r="C86" t="s">
        <v>1829</v>
      </c>
    </row>
    <row r="88" spans="2:11">
      <c r="B88" t="s">
        <v>1852</v>
      </c>
    </row>
    <row r="89" spans="2:11">
      <c r="B89"/>
    </row>
    <row r="90" spans="2:11">
      <c r="C90" t="s">
        <v>7</v>
      </c>
      <c r="D90" t="s">
        <v>1901</v>
      </c>
    </row>
    <row r="91" spans="2:11">
      <c r="D91" t="s">
        <v>1902</v>
      </c>
    </row>
    <row r="92" spans="2:11">
      <c r="D92" t="s">
        <v>1903</v>
      </c>
      <c r="K92" t="s">
        <v>1857</v>
      </c>
    </row>
    <row r="93" spans="2:11">
      <c r="D93" t="s">
        <v>1904</v>
      </c>
    </row>
    <row r="94" spans="2:11">
      <c r="D94" t="s">
        <v>1905</v>
      </c>
      <c r="K94" t="s">
        <v>1885</v>
      </c>
    </row>
    <row r="95" spans="2:11">
      <c r="D95" t="s">
        <v>1906</v>
      </c>
      <c r="K95" t="s">
        <v>1858</v>
      </c>
    </row>
    <row r="96" spans="2:11">
      <c r="D96" t="s">
        <v>1907</v>
      </c>
      <c r="K96" t="s">
        <v>1859</v>
      </c>
    </row>
    <row r="97" spans="3:10">
      <c r="D97" t="s">
        <v>1908</v>
      </c>
    </row>
    <row r="99" spans="3:10">
      <c r="D99" t="s">
        <v>1909</v>
      </c>
    </row>
    <row r="100" spans="3:10">
      <c r="D100" t="s">
        <v>1910</v>
      </c>
    </row>
    <row r="101" spans="3:10">
      <c r="D101" t="s">
        <v>1911</v>
      </c>
    </row>
    <row r="102" spans="3:10">
      <c r="D102" t="s">
        <v>1912</v>
      </c>
    </row>
    <row r="103" spans="3:10">
      <c r="D103" t="s">
        <v>1913</v>
      </c>
    </row>
    <row r="104" spans="3:10">
      <c r="D104" t="s">
        <v>1914</v>
      </c>
    </row>
    <row r="105" spans="3:10">
      <c r="D105" t="s">
        <v>1915</v>
      </c>
      <c r="J105" t="s">
        <v>1878</v>
      </c>
    </row>
    <row r="106" spans="3:10">
      <c r="D106" t="s">
        <v>1916</v>
      </c>
      <c r="J106" t="s">
        <v>1856</v>
      </c>
    </row>
    <row r="108" spans="3:10">
      <c r="D108" t="s">
        <v>1917</v>
      </c>
    </row>
    <row r="109" spans="3:10">
      <c r="D109" t="s">
        <v>1923</v>
      </c>
    </row>
    <row r="110" spans="3:10">
      <c r="D110" t="s">
        <v>1908</v>
      </c>
    </row>
    <row r="112" spans="3:10">
      <c r="C112" t="s">
        <v>1922</v>
      </c>
      <c r="D112" t="s">
        <v>1918</v>
      </c>
    </row>
    <row r="113" spans="2:10">
      <c r="D113" t="s">
        <v>1919</v>
      </c>
    </row>
    <row r="115" spans="2:10">
      <c r="C115" t="s">
        <v>1922</v>
      </c>
      <c r="D115" t="s">
        <v>1920</v>
      </c>
    </row>
    <row r="116" spans="2:10">
      <c r="D116" t="s">
        <v>1921</v>
      </c>
    </row>
    <row r="118" spans="2:10">
      <c r="E118" t="s">
        <v>7</v>
      </c>
    </row>
    <row r="119" spans="2:10">
      <c r="B119" t="s">
        <v>1855</v>
      </c>
    </row>
    <row r="120" spans="2:10">
      <c r="D120" t="s">
        <v>1899</v>
      </c>
      <c r="F120" t="s">
        <v>1900</v>
      </c>
    </row>
    <row r="121" spans="2:10">
      <c r="D121" t="s">
        <v>1879</v>
      </c>
      <c r="F121" t="s">
        <v>1883</v>
      </c>
    </row>
    <row r="122" spans="2:10">
      <c r="D122" t="s">
        <v>1880</v>
      </c>
      <c r="F122" t="s">
        <v>1884</v>
      </c>
    </row>
    <row r="123" spans="2:10">
      <c r="D123" s="105" t="s">
        <v>1881</v>
      </c>
      <c r="E123" s="106"/>
      <c r="F123" s="106" t="s">
        <v>1886</v>
      </c>
      <c r="J123" t="s">
        <v>1930</v>
      </c>
    </row>
    <row r="124" spans="2:10">
      <c r="D124" t="s">
        <v>1882</v>
      </c>
      <c r="F124" t="s">
        <v>1887</v>
      </c>
    </row>
    <row r="126" spans="2:10">
      <c r="B126" t="s">
        <v>1860</v>
      </c>
    </row>
    <row r="127" spans="2:10">
      <c r="D127" t="s">
        <v>1861</v>
      </c>
    </row>
    <row r="128" spans="2:10">
      <c r="D128" t="s">
        <v>1862</v>
      </c>
    </row>
    <row r="129" spans="4:4">
      <c r="D129" t="s">
        <v>1863</v>
      </c>
    </row>
    <row r="130" spans="4:4">
      <c r="D130" t="s">
        <v>1864</v>
      </c>
    </row>
    <row r="131" spans="4:4">
      <c r="D131" t="s">
        <v>1865</v>
      </c>
    </row>
    <row r="132" spans="4:4">
      <c r="D132" t="s">
        <v>1866</v>
      </c>
    </row>
    <row r="133" spans="4:4">
      <c r="D133" t="s">
        <v>1867</v>
      </c>
    </row>
    <row r="134" spans="4:4">
      <c r="D134" t="s">
        <v>1868</v>
      </c>
    </row>
    <row r="135" spans="4:4">
      <c r="D135" t="s">
        <v>1869</v>
      </c>
    </row>
    <row r="137" spans="4:4">
      <c r="D137" t="s">
        <v>1870</v>
      </c>
    </row>
    <row r="138" spans="4:4">
      <c r="D138" t="s">
        <v>1871</v>
      </c>
    </row>
    <row r="139" spans="4:4">
      <c r="D139" t="s">
        <v>1863</v>
      </c>
    </row>
    <row r="140" spans="4:4">
      <c r="D140" t="s">
        <v>1872</v>
      </c>
    </row>
    <row r="141" spans="4:4">
      <c r="D141" t="s">
        <v>1873</v>
      </c>
    </row>
    <row r="142" spans="4:4">
      <c r="D142" t="s">
        <v>1929</v>
      </c>
    </row>
    <row r="144" spans="4:4">
      <c r="D144" t="s">
        <v>1874</v>
      </c>
    </row>
    <row r="145" spans="4:10">
      <c r="D145" t="s">
        <v>1871</v>
      </c>
      <c r="G145" t="s">
        <v>1871</v>
      </c>
      <c r="J145" t="s">
        <v>1871</v>
      </c>
    </row>
    <row r="146" spans="4:10">
      <c r="D146" t="s">
        <v>1863</v>
      </c>
      <c r="G146" t="s">
        <v>1863</v>
      </c>
      <c r="J146" t="s">
        <v>1863</v>
      </c>
    </row>
    <row r="147" spans="4:10">
      <c r="D147" t="s">
        <v>1875</v>
      </c>
      <c r="G147" t="s">
        <v>1925</v>
      </c>
      <c r="J147" t="s">
        <v>1925</v>
      </c>
    </row>
    <row r="148" spans="4:10">
      <c r="D148" t="s">
        <v>1876</v>
      </c>
      <c r="G148" t="s">
        <v>1928</v>
      </c>
      <c r="J148" t="s">
        <v>1924</v>
      </c>
    </row>
    <row r="149" spans="4:10">
      <c r="D149" t="s">
        <v>1927</v>
      </c>
      <c r="G149" t="s">
        <v>1877</v>
      </c>
      <c r="J149" t="s">
        <v>1926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モンスター</vt:lpstr>
      <vt:lpstr>スキル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2026-09-16T14:17:39Z</dcterms:modified>
</cp:coreProperties>
</file>