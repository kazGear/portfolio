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0006DF47-37FF-4D17-B0AE-0331CC729D9D}" xr6:coauthVersionLast="47" xr6:coauthVersionMax="47" xr10:uidLastSave="{00000000-0000-0000-0000-000000000000}"/>
  <bookViews>
    <workbookView xWindow="-108" yWindow="-108" windowWidth="23256" windowHeight="12456" tabRatio="778" firstSheet="3" activeTab="3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5" i="5" l="1"/>
  <c r="K104" i="5"/>
  <c r="K168" i="5"/>
  <c r="K167" i="5"/>
  <c r="K166" i="5"/>
  <c r="K165" i="5"/>
  <c r="K164" i="5"/>
  <c r="K163" i="5"/>
  <c r="K5" i="5"/>
  <c r="K141" i="5"/>
  <c r="K140" i="5"/>
  <c r="K139" i="5"/>
  <c r="K142" i="5"/>
  <c r="K106" i="5"/>
  <c r="K101" i="5"/>
  <c r="K100" i="5"/>
  <c r="K99" i="5"/>
  <c r="K98" i="5"/>
  <c r="K103" i="5"/>
  <c r="K102" i="5"/>
  <c r="K97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3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44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<sst xmlns="http://schemas.openxmlformats.org/spreadsheetml/2006/main" count="4647" uniqueCount="2373">
  <si>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</si>
  <si>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</si>
  <si>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</si>
  <si>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</si>
  <si>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</si>
  <si>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</si>
  <si>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</si>
  <si>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</si>
  <si>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</si>
  <si>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</si>
  <si>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</si>
  <si>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</si>
  <si>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</si>
  <si>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</si>
  <si>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</si>
  <si>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</si>
  <si>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</si>
  <si>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</si>
  <si>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</si>
  <si>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</si>
  <si>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</si>
  <si>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</si>
  <si>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</si>
  <si>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</si>
  <si>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</si>
  <si>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</si>
  <si>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</si>
  <si>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</si>
  <si>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</si>
  <si>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</si>
  <si>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</si>
  <si>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</si>
  <si>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</si>
  <si>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</si>
  <si>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</si>
  <si>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</si>
  <si>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</si>
  <si>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</si>
  <si>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</si>
  <si>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</si>
  <si>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</si>
  <si>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</si>
  <si>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</si>
  <si>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</si>
  <si>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</si>
  <si>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</si>
  <si>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</si>
  <si>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</si>
  <si>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</si>
  <si>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</si>
  <si>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</si>
  <si>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</si>
  <si>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</si>
  <si>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</si>
  <si>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</si>
  <si>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</si>
  <si>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</si>
  <si>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</si>
  <si>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</si>
  <si>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</si>
  <si>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</si>
  <si>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</si>
  <si>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</si>
  <si>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</si>
  <si>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</si>
  <si>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</si>
  <si>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</si>
  <si>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</si>
  <si>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</si>
  <si>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</si>
  <si>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</si>
  <si>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</si>
  <si>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</si>
  <si>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</si>
  <si>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</si>
  <si>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</si>
  <si>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</si>
  <si>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</si>
  <si>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</si>
  <si>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</si>
  <si>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</si>
  <si>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</si>
  <si>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</si>
  <si>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</si>
  <si>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</si>
  <si>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</si>
  <si>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</si>
  <si>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</si>
  <si>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</si>
  <si>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</si>
  <si>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</si>
  <si>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</si>
  <si>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</si>
  <si>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</si>
  <si>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</si>
  <si>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</si>
  <si>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</si>
  <si>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</si>
  <si>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</si>
  <si>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</si>
  <si>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</si>
  <si>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</si>
  <si>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</si>
  <si>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</si>
  <si>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</si>
  <si>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</si>
  <si>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</si>
  <si>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</si>
  <si>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</si>
  <si>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</si>
  <si>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</si>
  <si>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</si>
  <si>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</si>
  <si>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</si>
  <si>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</si>
  <si>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</si>
  <si>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</si>
  <si>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</si>
  <si>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</si>
  <si>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</si>
  <si>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</si>
  <si>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</si>
  <si>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</si>
  <si>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</si>
  <si>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</si>
  <si>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</si>
  <si>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</si>
  <si>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</si>
  <si>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</si>
  <si>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</si>
  <si>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</si>
  <si>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</si>
  <si>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</si>
  <si>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</si>
  <si>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</si>
  <si>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</si>
  <si>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</si>
  <si>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</si>
  <si>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</si>
  <si>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</si>
  <si>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</si>
  <si>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</si>
  <si>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</si>
  <si>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</si>
  <si>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</si>
  <si>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</si>
  <si>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</si>
  <si>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</si>
  <si>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</si>
  <si>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</si>
  <si>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</si>
  <si>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</si>
  <si>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</si>
  <si>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</si>
  <si>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</si>
  <si>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</si>
  <si>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</si>
  <si>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</si>
  <si>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</si>
  <si>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</si>
  <si>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</si>
  <si>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</si>
  <si>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</si>
  <si>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</si>
  <si>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</si>
  <si>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</si>
  <si>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</si>
  <si>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</si>
  <si>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</si>
  <si>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</si>
  <si>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</si>
  <si>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</si>
  <si>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</si>
  <si>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</si>
  <si>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</si>
  <si>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</si>
  <si>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</si>
  <si>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</si>
  <si>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</si>
  <si>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</si>
  <si>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</si>
  <si>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</si>
  <si>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</si>
  <si>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</si>
  <si>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</si>
  <si>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</si>
  <si>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</si>
  <si>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</si>
  <si>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</si>
  <si>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</si>
  <si>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</si>
  <si>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</si>
  <si>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</si>
  <si>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</si>
  <si>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</si>
  <si>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</si>
  <si>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</si>
  <si>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</si>
  <si>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</si>
  <si>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</si>
  <si>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</si>
  <si>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</si>
  <si>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</si>
  <si>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</si>
  <si>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</si>
  <si>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</si>
  <si>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</si>
  <si>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</si>
  <si>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</si>
  <si>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</si>
  <si>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</si>
  <si>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</si>
  <si>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</si>
  <si>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</si>
  <si>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</si>
  <si>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</si>
  <si>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</si>
  <si>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</si>
  <si>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</si>
  <si>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</si>
  <si>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</si>
  <si>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</si>
  <si>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</si>
  <si>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</si>
  <si>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</si>
  <si>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</si>
  <si>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</si>
  <si>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</si>
  <si>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</si>
  <si>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</si>
  <si>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</si>
  <si>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</si>
  <si>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</si>
  <si>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</si>
  <si>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</si>
  <si>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</si>
  <si>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</si>
  <si>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</si>
  <si>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</si>
  <si>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</si>
  <si>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</si>
  <si>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</si>
  <si>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</si>
  <si>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</si>
  <si>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</si>
  <si>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</si>
  <si>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</si>
  <si>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</si>
  <si>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</si>
  <si>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</si>
  <si>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</si>
  <si>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</si>
  <si>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</si>
  <si>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</si>
  <si>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</si>
  <si>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</si>
  <si>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</si>
  <si>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</si>
  <si>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</si>
  <si>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</si>
  <si>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</si>
  <si>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</si>
  <si>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</si>
  <si>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</si>
  <si>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</si>
  <si>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</si>
  <si>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</si>
  <si>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</si>
  <si>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</si>
  <si>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</si>
  <si>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</si>
  <si>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</si>
  <si>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</si>
  <si>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</si>
  <si>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</si>
  <si>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</si>
  <si>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</si>
  <si>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</si>
  <si>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</si>
  <si>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</si>
  <si>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</si>
  <si>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</si>
  <si>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</si>
  <si>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</si>
  <si>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</si>
  <si>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</si>
  <si>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</si>
  <si>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</si>
  <si>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</si>
  <si>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</si>
  <si>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</si>
  <si>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</si>
  <si>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</si>
  <si>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</si>
  <si>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</si>
  <si>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</si>
  <si>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</si>
  <si>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</si>
  <si>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</si>
  <si>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</si>
  <si>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</si>
  <si>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</si>
  <si>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</si>
  <si>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</si>
  <si>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</si>
  <si>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</si>
  <si>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</si>
  <si>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</si>
  <si>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</si>
  <si>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</si>
  <si>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</si>
  <si>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</si>
  <si>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</si>
  <si>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</si>
  <si>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</si>
  <si>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</si>
  <si>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</si>
  <si>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</si>
  <si>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</si>
  <si>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</si>
  <si>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</si>
  <si>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</si>
  <si>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</si>
  <si>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</si>
  <si>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</si>
  <si>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</si>
  <si>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</si>
  <si>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</si>
  <si>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</si>
  <si>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</si>
  <si>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</si>
  <si>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</si>
  <si>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</si>
  <si>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</si>
  <si>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</si>
  <si>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</si>
  <si>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</si>
  <si>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</si>
  <si>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</si>
  <si>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</si>
  <si>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</si>
  <si>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</si>
  <si>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</si>
  <si>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</si>
  <si>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</si>
  <si>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</si>
  <si>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</si>
  <si>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</si>
  <si>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</si>
  <si>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</si>
  <si>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</si>
  <si>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</si>
  <si>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</si>
  <si>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</si>
  <si>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</si>
  <si>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</si>
  <si>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</si>
  <si>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</si>
  <si>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</si>
  <si>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</si>
  <si>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</si>
  <si>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</si>
  <si>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</si>
  <si>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</si>
  <si>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</si>
  <si>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</si>
  <si>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</si>
  <si>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</si>
  <si>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</si>
  <si>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</si>
  <si>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</si>
  <si>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</si>
  <si>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</si>
  <si>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</si>
  <si>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</si>
  <si>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</si>
  <si>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</si>
  <si>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</si>
  <si>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</si>
  <si>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</si>
  <si>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</si>
  <si>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</si>
  <si>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</si>
  <si>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</si>
  <si>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</si>
  <si>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</si>
  <si>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</si>
  <si>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</si>
  <si>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</si>
  <si>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</si>
  <si>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</si>
  <si>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</si>
  <si>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</si>
  <si>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</si>
  <si>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</si>
  <si>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</si>
  <si>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</si>
  <si>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</si>
  <si>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</si>
  <si>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</si>
  <si>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</si>
  <si>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</si>
  <si>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</si>
  <si>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</si>
  <si>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</si>
  <si>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</si>
  <si>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</si>
  <si>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</si>
  <si>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</si>
  <si>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</si>
  <si>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</si>
  <si>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</si>
  <si>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</si>
  <si>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</si>
  <si>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</si>
  <si>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</si>
  <si>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</si>
  <si>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</si>
  <si>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</si>
  <si>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</si>
  <si>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</si>
  <si>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</si>
  <si>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</si>
  <si>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</si>
  <si>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</si>
  <si>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</si>
  <si>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</si>
  <si>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</si>
  <si>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</si>
  <si>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</si>
  <si>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</si>
  <si>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</si>
  <si>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</si>
  <si>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</si>
  <si>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</si>
  <si>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</si>
  <si>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</si>
  <si>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</si>
  <si>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</si>
  <si>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</si>
  <si>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</si>
  <si>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</si>
  <si>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</si>
  <si>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</si>
  <si>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</si>
  <si>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</si>
  <si>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</si>
  <si>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</si>
  <si>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</si>
  <si>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</si>
  <si>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</si>
  <si>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</si>
  <si>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</si>
  <si>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</si>
  <si>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</si>
  <si>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</si>
  <si>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</si>
  <si>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</si>
  <si>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</si>
  <si>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</si>
  <si>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</si>
  <si>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</si>
  <si>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</si>
  <si>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</si>
  <si>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</si>
  <si>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</si>
  <si>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</si>
  <si>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</si>
  <si>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</si>
  <si>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</si>
  <si>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</si>
  <si>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</si>
  <si>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</si>
  <si>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</si>
  <si>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</si>
  <si>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</si>
  <si>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</si>
  <si>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</si>
  <si>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</si>
  <si>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</si>
  <si>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</si>
  <si>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</si>
  <si>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</si>
  <si>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</si>
  <si>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</si>
  <si>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</si>
  <si>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</si>
  <si>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</si>
  <si>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</si>
  <si>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</si>
  <si>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</si>
  <si>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</si>
  <si>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</si>
  <si>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</si>
  <si>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</si>
  <si>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</si>
  <si>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</si>
  <si>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</si>
  <si>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</si>
  <si>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</si>
  <si>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</si>
  <si>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</si>
  <si>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</si>
  <si>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</si>
  <si>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</si>
  <si>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</si>
  <si>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</si>
  <si>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</si>
  <si>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</si>
  <si>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</si>
  <si>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</si>
  <si>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</si>
  <si>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</si>
  <si>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</si>
  <si>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</si>
  <si>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</si>
  <si>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</si>
  <si>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</si>
  <si>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</si>
  <si>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</si>
  <si>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</si>
  <si>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</si>
  <si>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</si>
  <si>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</si>
  <si>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</si>
  <si>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</si>
  <si>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</si>
  <si>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</si>
  <si>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</si>
  <si>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</si>
  <si>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</si>
  <si>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</si>
  <si>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</si>
  <si>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</si>
  <si>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</si>
  <si>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</si>
  <si>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</si>
  <si>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</si>
  <si>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</si>
  <si>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</si>
  <si>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</si>
  <si>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</si>
  <si>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</si>
  <si>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</si>
  <si>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</si>
  <si>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</si>
  <si>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</si>
  <si>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</si>
  <si>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</si>
  <si>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</si>
  <si>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</si>
  <si>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</si>
  <si>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</si>
  <si>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</si>
  <si>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</si>
  <si>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</si>
  <si>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</si>
  <si>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</si>
  <si>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</si>
  <si>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</si>
  <si>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</si>
  <si>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</si>
  <si>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</si>
  <si>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</si>
  <si>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</si>
  <si>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</si>
  <si>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</si>
  <si>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</si>
  <si>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</si>
  <si>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</si>
  <si>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</si>
  <si>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</si>
  <si>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</si>
  <si>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</si>
  <si>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</si>
  <si>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</si>
  <si>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</si>
  <si>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</si>
  <si>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</si>
  <si>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</si>
  <si>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</si>
  <si>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</si>
  <si>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</si>
  <si>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</si>
  <si>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</si>
  <si>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</si>
  <si>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</si>
  <si>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</si>
  <si>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</si>
  <si>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</si>
  <si>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</si>
  <si>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</si>
  <si>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</si>
  <si>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</si>
  <si>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</si>
  <si>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</si>
  <si>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</si>
  <si>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</si>
  <si>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</si>
  <si>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</si>
  <si>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</si>
  <si>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</si>
  <si>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</si>
  <si>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</si>
  <si>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</si>
  <si>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</si>
  <si>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</si>
  <si>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</si>
  <si>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</si>
  <si>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</si>
  <si>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</si>
  <si>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</si>
  <si>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</si>
  <si>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</si>
  <si>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</si>
  <si>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</si>
  <si>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</si>
  <si>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</si>
  <si>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</si>
  <si>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</si>
  <si>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</si>
  <si>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</si>
  <si>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</si>
  <si>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</si>
  <si>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</si>
  <si>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</si>
  <si>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</si>
  <si>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</si>
  <si>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</si>
  <si>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</si>
  <si>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</si>
  <si>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</si>
  <si>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</si>
  <si>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</si>
  <si>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</si>
  <si>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</si>
  <si>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</si>
  <si>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</si>
  <si>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</si>
  <si>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</si>
  <si>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</si>
  <si>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</si>
  <si>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</si>
  <si>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</si>
  <si>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</si>
  <si>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</si>
  <si>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</si>
  <si>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</si>
  <si>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</si>
  <si>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</si>
  <si>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</si>
  <si>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</si>
  <si>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</si>
  <si>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</si>
  <si>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</si>
  <si>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</si>
  <si>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</si>
  <si>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</si>
  <si>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</si>
  <si>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</si>
  <si>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</si>
  <si>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</si>
  <si>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</si>
  <si>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</si>
  <si>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</si>
  <si>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</si>
  <si>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</si>
  <si>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</si>
  <si>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</si>
  <si>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</si>
  <si>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</si>
  <si>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</si>
  <si>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</si>
  <si>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</si>
  <si>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</si>
  <si>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</si>
  <si>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</si>
  <si>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</si>
  <si>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</si>
  <si>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</si>
  <si>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</si>
  <si>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</si>
  <si>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</si>
  <si>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</si>
  <si>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</si>
  <si>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</si>
  <si>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</si>
  <si>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</si>
  <si>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</si>
  <si>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</si>
  <si>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</si>
  <si>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</si>
  <si>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</si>
  <si>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</si>
  <si>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</si>
  <si>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</si>
  <si>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</si>
  <si>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</si>
  <si>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</si>
  <si>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</si>
  <si>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</si>
  <si>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</si>
  <si>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</si>
  <si>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</si>
  <si>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</si>
  <si>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</si>
  <si>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</si>
  <si>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</si>
  <si>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</si>
  <si>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</si>
  <si>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</si>
  <si>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</si>
  <si>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</si>
  <si>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</si>
  <si>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</si>
  <si>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</si>
  <si>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</si>
  <si>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</si>
  <si>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</si>
  <si>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</si>
  <si>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</si>
  <si>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</si>
  <si>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</si>
  <si>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</si>
  <si>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</si>
  <si>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</si>
  <si>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</si>
  <si>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</si>
  <si>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</si>
  <si>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</si>
  <si>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</si>
  <si>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</si>
  <si>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</si>
  <si>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</si>
  <si>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</si>
  <si>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</si>
  <si>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</si>
  <si>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</si>
  <si>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</si>
  <si>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</si>
  <si>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</si>
  <si>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</si>
  <si>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</si>
  <si>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</si>
  <si>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</si>
  <si>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</si>
  <si>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</si>
  <si>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</si>
  <si>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</si>
  <si>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</si>
  <si>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</si>
  <si>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</si>
  <si>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</si>
  <si>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</si>
  <si>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</si>
  <si>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</si>
  <si>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</si>
  <si>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</si>
  <si>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</si>
  <si>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</si>
  <si>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</si>
  <si>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</si>
  <si>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</si>
  <si>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</si>
  <si>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</si>
  <si>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</si>
  <si>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</si>
  <si>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</si>
  <si>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</si>
  <si>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</si>
  <si>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</si>
  <si>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</si>
  <si>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</si>
  <si>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</si>
  <si>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</si>
  <si>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</si>
  <si>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</si>
  <si>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</si>
  <si>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</si>
  <si>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</si>
  <si>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</si>
  <si>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</si>
  <si>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</si>
  <si>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</si>
  <si>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</si>
  <si>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</si>
  <si>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</si>
  <si>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</si>
  <si>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</si>
  <si>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</si>
  <si>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</si>
  <si>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</si>
  <si>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</si>
  <si>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</si>
  <si>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</si>
  <si>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</si>
  <si>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</si>
  <si>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</si>
  <si>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</si>
  <si>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</si>
  <si>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</si>
  <si>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</si>
  <si>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</si>
  <si>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</si>
  <si>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</si>
  <si>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</si>
  <si>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</si>
  <si>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</si>
  <si>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</si>
  <si>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</si>
  <si>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</si>
  <si>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</si>
  <si>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</si>
  <si>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</si>
  <si>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</si>
  <si>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</si>
  <si>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</si>
  <si>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</si>
  <si>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</si>
  <si>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</si>
  <si>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</si>
  <si>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</si>
  <si>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</si>
  <si>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</si>
  <si>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</si>
  <si>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</si>
  <si>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</si>
  <si>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</si>
  <si>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</si>
  <si>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</si>
  <si>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</si>
  <si>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</si>
  <si>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</si>
  <si>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</si>
  <si>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</si>
  <si>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</si>
  <si>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</si>
  <si>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</si>
  <si>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</si>
  <si>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</si>
  <si>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</si>
  <si>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</si>
  <si>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</si>
  <si>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</si>
  <si>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</si>
  <si>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</si>
  <si>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</si>
  <si>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</si>
  <si>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</si>
  <si>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</si>
  <si>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</si>
  <si>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</si>
  <si>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</si>
  <si>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</si>
  <si>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</si>
  <si>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</si>
  <si>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</si>
  <si>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</si>
  <si>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</si>
  <si>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</si>
  <si>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</si>
  <si>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</si>
  <si>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</si>
  <si>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</si>
  <si>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</si>
  <si>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</si>
  <si>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</si>
  <si>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</si>
  <si>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</si>
  <si>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</si>
  <si>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</si>
  <si>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</si>
  <si>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</si>
  <si>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</si>
  <si>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</si>
  <si>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</si>
  <si>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</si>
  <si>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</si>
  <si>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</si>
  <si>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</si>
  <si>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</si>
  <si>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</si>
  <si>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</si>
  <si>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</si>
  <si>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</si>
  <si>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</si>
  <si>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</si>
  <si>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</si>
  <si>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</si>
  <si>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</si>
  <si>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</si>
  <si>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</si>
  <si>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</si>
  <si>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</si>
  <si>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</si>
  <si>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</si>
  <si>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</si>
  <si>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</si>
  <si>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</si>
  <si>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</si>
  <si>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</si>
  <si>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</si>
  <si>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</si>
  <si>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</si>
  <si>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</si>
  <si>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</si>
  <si>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</si>
  <si>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</si>
  <si>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</si>
  <si>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</si>
  <si>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</si>
  <si>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</si>
  <si>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</si>
  <si>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</si>
  <si>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</si>
  <si>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</si>
  <si>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</si>
  <si>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</si>
  <si>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</si>
  <si>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</si>
  <si>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</si>
  <si>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</si>
  <si>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</si>
  <si>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</si>
  <si>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</si>
  <si>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</si>
  <si>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</si>
  <si>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</si>
  <si>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</si>
  <si>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</si>
  <si>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</si>
  <si>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</si>
  <si>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</si>
  <si>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</si>
  <si>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</si>
  <si>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</si>
  <si>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</si>
  <si>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</si>
  <si>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</si>
  <si>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</si>
  <si>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</si>
  <si>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</si>
  <si>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</si>
  <si>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</si>
  <si>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</si>
  <si>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</si>
  <si>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</si>
  <si>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</si>
  <si>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</si>
  <si>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</si>
  <si>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</si>
  <si>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</si>
  <si>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</si>
  <si>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</si>
  <si>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</si>
  <si>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</si>
  <si>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</si>
  <si>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</si>
  <si>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</si>
  <si>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</si>
  <si>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</si>
  <si>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</si>
  <si>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</si>
  <si>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</si>
  <si>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</si>
  <si>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</si>
  <si>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</si>
  <si>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</si>
  <si>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</si>
  <si>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</si>
  <si>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</si>
  <si>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</si>
  <si>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</si>
  <si>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</si>
  <si>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</si>
  <si>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</si>
  <si>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</si>
  <si>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</si>
  <si>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</si>
  <si>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</si>
  <si>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</si>
  <si>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</si>
  <si>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</si>
  <si>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</si>
  <si>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</si>
  <si>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</si>
  <si>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</si>
  <si>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</si>
  <si>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</si>
  <si>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</si>
  <si>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</si>
  <si>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</si>
  <si>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</si>
  <si>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</si>
  <si>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</si>
  <si>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</si>
  <si>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</si>
  <si>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</si>
  <si>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</si>
  <si>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</si>
  <si>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</si>
  <si>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</si>
  <si>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</si>
  <si>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</si>
  <si>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</si>
  <si>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</si>
  <si>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</si>
  <si>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</si>
  <si>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</si>
  <si>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</si>
  <si>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</si>
  <si>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</si>
  <si>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</si>
  <si>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</si>
  <si>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</si>
  <si>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</si>
  <si>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</si>
  <si>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</si>
  <si>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</si>
  <si>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</si>
  <si>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</si>
  <si>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</si>
  <si>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</si>
  <si>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</si>
  <si>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</si>
  <si>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</si>
  <si>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</si>
  <si>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</si>
  <si>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</si>
  <si>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</si>
  <si>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</si>
  <si>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</si>
  <si>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</si>
  <si>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</si>
  <si>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</si>
  <si>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</si>
  <si>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</si>
  <si>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</si>
  <si>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</si>
  <si>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</si>
  <si>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</si>
  <si>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</si>
  <si>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</si>
  <si>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</si>
  <si>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</si>
  <si>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</si>
  <si>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</si>
  <si>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</si>
  <si>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</si>
  <si>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</si>
  <si>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</si>
  <si>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</si>
  <si>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</si>
  <si>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</si>
  <si>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</si>
  <si>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</si>
  <si>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</si>
  <si>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</si>
  <si>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</si>
  <si>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</si>
  <si>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</si>
  <si>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</si>
  <si>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</si>
  <si>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</si>
  <si>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</si>
  <si>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</si>
  <si>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</si>
  <si>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</si>
  <si>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</si>
  <si>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</si>
  <si>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</si>
  <si>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</si>
  <si>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</si>
  <si>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</si>
  <si>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</si>
  <si>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</si>
  <si>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</si>
  <si>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</si>
  <si>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</si>
  <si>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</si>
  <si>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</si>
  <si>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</si>
  <si>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</si>
  <si>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</si>
  <si>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</si>
  <si>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</si>
  <si>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</si>
  <si>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</si>
  <si>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</si>
  <si>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</si>
  <si>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</si>
  <si>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</si>
  <si>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</si>
  <si>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</si>
  <si>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</si>
  <si>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</si>
  <si>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</si>
  <si>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</si>
  <si>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</si>
  <si>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</si>
  <si>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</si>
  <si>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</si>
  <si>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</si>
  <si>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</si>
  <si>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</si>
  <si>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</si>
  <si>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</si>
  <si>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</si>
  <si>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</si>
  <si>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</si>
  <si>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</si>
  <si>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</si>
  <si>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</si>
  <si>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</si>
  <si>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</si>
  <si>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</si>
  <si>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</si>
  <si>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</si>
  <si>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</si>
  <si>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</si>
  <si>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</si>
  <si>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</si>
  <si>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</si>
  <si>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</si>
  <si>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</si>
  <si>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</si>
  <si>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</si>
  <si>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</si>
  <si>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</si>
  <si>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</si>
  <si>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</si>
  <si>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</si>
  <si>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</si>
  <si>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</si>
  <si>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</si>
  <si>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</si>
  <si>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</si>
  <si>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</si>
  <si>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</si>
  <si>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</si>
  <si>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</si>
  <si>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</si>
  <si>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</si>
  <si>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</si>
  <si>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</si>
  <si>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</si>
  <si>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</si>
  <si>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</si>
  <si>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</si>
  <si>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</si>
  <si>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</si>
  <si>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</si>
  <si>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</si>
  <si>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</si>
  <si>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</si>
  <si>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</si>
  <si>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</si>
  <si>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</si>
  <si>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</si>
  <si>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</si>
  <si>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</si>
  <si>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</si>
  <si>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</si>
  <si>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</si>
  <si>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</si>
  <si>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</si>
  <si>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</si>
  <si>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</si>
  <si>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</si>
  <si>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</si>
  <si>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</si>
  <si>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</si>
  <si>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</si>
  <si>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</si>
  <si>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</si>
  <si>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</si>
  <si>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</si>
  <si>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</si>
  <si>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</si>
  <si>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</si>
  <si>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</si>
  <si>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</si>
  <si>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</si>
  <si>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</si>
  <si>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</si>
  <si>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</si>
  <si>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</si>
  <si>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</si>
  <si>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</si>
  <si>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</si>
  <si>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</si>
  <si>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</si>
  <si>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</si>
  <si>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</si>
  <si>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</si>
  <si>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</si>
  <si>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</si>
  <si>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</si>
  <si>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</si>
  <si>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</si>
  <si>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</si>
  <si>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</si>
  <si>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</si>
  <si>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</si>
  <si>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</si>
  <si>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</si>
  <si>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</si>
  <si>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</si>
  <si>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</si>
  <si>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</si>
  <si>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</si>
  <si>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</si>
  <si>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</si>
  <si>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</si>
  <si>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</si>
  <si>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</si>
  <si>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</si>
  <si>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</si>
  <si>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</si>
  <si>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</si>
  <si>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</si>
  <si>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</si>
  <si>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</si>
  <si>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</si>
  <si>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</si>
  <si>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</si>
  <si>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</si>
  <si>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</si>
  <si>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</si>
  <si>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</si>
  <si>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</si>
  <si>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</si>
  <si>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</si>
  <si>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</si>
  <si>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</si>
  <si>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</si>
  <si>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</si>
  <si>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</si>
  <si>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</si>
  <si>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</si>
  <si>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</si>
  <si>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</si>
  <si>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</si>
  <si>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</si>
  <si>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</si>
  <si>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</si>
  <si>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</si>
  <si>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</si>
  <si>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</si>
  <si>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</si>
  <si>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</si>
  <si>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</si>
  <si>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</si>
  <si>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</si>
  <si>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</si>
  <si>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</si>
  <si>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</si>
  <si>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</si>
  <si>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</si>
  <si>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</si>
  <si>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</si>
  <si>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</si>
  <si>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</si>
  <si>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</si>
  <si>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</si>
  <si>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</si>
  <si>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</si>
  <si>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</si>
  <si>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</si>
  <si>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</si>
  <si>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</si>
  <si>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</si>
  <si>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</si>
  <si>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</si>
  <si>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</si>
  <si>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</si>
  <si>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</si>
  <si>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</si>
  <si>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</si>
  <si>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</si>
  <si>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</si>
  <si>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</si>
  <si>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</si>
  <si>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</si>
  <si>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</si>
  <si>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</si>
  <si>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</si>
  <si>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</si>
  <si>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</si>
  <si>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</si>
  <si>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</si>
  <si>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</si>
  <si>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</si>
  <si>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</si>
  <si>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</si>
  <si>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</si>
  <si>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</si>
  <si>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</si>
  <si>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</si>
  <si>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</si>
  <si>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</si>
  <si>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</si>
  <si>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</si>
  <si>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</si>
  <si>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</si>
  <si>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</si>
  <si>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</si>
  <si>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</si>
  <si>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</si>
  <si>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</si>
  <si>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</si>
  <si>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</si>
  <si>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</si>
  <si>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</si>
  <si>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</si>
  <si>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</si>
  <si>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</si>
  <si>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</si>
  <si>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</si>
  <si>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</si>
  <si>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</si>
  <si>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</si>
  <si>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</si>
  <si>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</si>
  <si>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</si>
  <si>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</si>
  <si>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</si>
  <si>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</si>
  <si>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</si>
  <si>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</si>
  <si>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</si>
  <si>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</si>
  <si>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</si>
  <si>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</si>
  <si>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</si>
  <si>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</si>
  <si>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</si>
  <si>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</si>
  <si>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</si>
  <si>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</si>
  <si>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</si>
  <si>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</si>
  <si>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</si>
  <si>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</si>
  <si>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</si>
  <si>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</si>
  <si>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</si>
  <si>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</si>
  <si>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</si>
  <si>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</si>
  <si>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</si>
  <si>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</si>
  <si>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</si>
  <si>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</si>
  <si>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</si>
  <si>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</si>
  <si>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</si>
  <si>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</si>
  <si>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</si>
  <si>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</si>
  <si>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</si>
  <si>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</si>
  <si>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</si>
  <si>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</si>
  <si>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</si>
  <si>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</si>
  <si>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</si>
  <si>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</si>
  <si>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</si>
  <si>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</si>
  <si>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</si>
  <si>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</si>
  <si>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</si>
  <si>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</si>
  <si>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</si>
  <si>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</si>
  <si>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</si>
  <si>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</si>
  <si>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</si>
  <si>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</si>
  <si>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</si>
  <si>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</si>
  <si>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</si>
  <si>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</si>
  <si>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</si>
  <si>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</si>
  <si>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</si>
  <si>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</si>
  <si>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</si>
  <si>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</si>
  <si>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</si>
  <si>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</si>
  <si>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</si>
  <si>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</si>
  <si>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</si>
  <si>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</si>
  <si>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</si>
  <si>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</si>
  <si>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</si>
  <si>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</si>
  <si>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</si>
  <si>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</si>
  <si>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</si>
  <si>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</si>
  <si>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</si>
  <si>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</si>
  <si>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</si>
  <si>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</si>
  <si>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</si>
  <si>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</si>
  <si>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</si>
  <si>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</si>
  <si>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</si>
  <si>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</si>
  <si>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</si>
  <si>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</si>
  <si>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</si>
  <si>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</si>
  <si>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</si>
  <si>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</si>
  <si>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</si>
  <si>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</si>
  <si>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</si>
  <si>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</si>
  <si>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</si>
  <si>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</si>
  <si>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</si>
  <si>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</si>
  <si>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</si>
  <si>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</si>
  <si>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</si>
  <si>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</si>
  <si>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</si>
  <si>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</si>
  <si>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</si>
  <si>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</si>
  <si>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</si>
  <si>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</si>
  <si>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</si>
  <si>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</si>
  <si>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</si>
  <si>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</si>
  <si>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</si>
  <si>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</si>
  <si>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</si>
  <si>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</si>
  <si>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</si>
  <si>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</si>
  <si>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</si>
  <si>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</si>
  <si>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</si>
  <si>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</si>
  <si>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</si>
  <si>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</si>
  <si>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</si>
  <si>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</si>
  <si>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</si>
  <si>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</si>
  <si>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</si>
  <si>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</si>
  <si>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</si>
  <si>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</si>
  <si>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</si>
  <si>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</si>
  <si>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</si>
  <si>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</si>
  <si>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</si>
  <si>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</si>
  <si>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</si>
  <si>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</si>
  <si>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</si>
  <si>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</si>
  <si>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</si>
  <si>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</si>
  <si>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</si>
  <si>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</si>
  <si>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</si>
  <si>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</si>
  <si>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</si>
  <si>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</si>
  <si>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</si>
  <si>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</si>
  <si>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</si>
  <si>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</si>
  <si>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</si>
  <si>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</si>
  <si>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</si>
  <si>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</si>
  <si>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</si>
  <si>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</si>
  <si>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</si>
  <si>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</si>
  <si>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</si>
  <si>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</si>
  <si>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</si>
  <si>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</si>
  <si>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</si>
  <si>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</si>
  <si>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</si>
  <si>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</si>
  <si>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</si>
  <si>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</si>
  <si>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</si>
  <si>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</si>
  <si>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</si>
  <si>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</si>
  <si>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</si>
  <si>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</si>
  <si>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</si>
  <si>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</si>
  <si>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</si>
  <si>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</si>
  <si>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</si>
  <si>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</si>
  <si>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</si>
  <si>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</si>
  <si>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</si>
  <si>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</si>
  <si>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</si>
  <si>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</si>
  <si>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</si>
  <si>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</si>
  <si>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</si>
  <si>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</si>
  <si>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</si>
  <si>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</si>
  <si>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</si>
  <si>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</si>
  <si>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</si>
  <si>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</si>
  <si>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</si>
  <si>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</si>
  <si>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</si>
  <si>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</si>
  <si>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</si>
  <si>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</si>
  <si>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</si>
  <si>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</si>
  <si>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</si>
  <si>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</si>
  <si>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</si>
  <si>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</si>
  <si>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</si>
  <si>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</si>
  <si>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</si>
  <si>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</si>
  <si>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</si>
  <si>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</si>
  <si>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</si>
  <si>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</si>
  <si>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</si>
  <si>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</si>
  <si>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</si>
  <si>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</si>
  <si>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</si>
  <si>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</si>
  <si>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</si>
  <si>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</si>
  <si>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</si>
  <si>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</si>
  <si>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</si>
  <si>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</si>
  <si>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</si>
  <si>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</si>
  <si>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</si>
  <si>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</si>
  <si>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</si>
  <si>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</si>
  <si>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</si>
  <si>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</si>
  <si>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</si>
  <si>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</si>
  <si>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</si>
  <si>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</si>
  <si>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</si>
  <si>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</si>
  <si>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</si>
  <si>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</si>
  <si>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</si>
  <si>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</si>
  <si>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</si>
  <si>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</si>
  <si>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</si>
  <si>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</si>
  <si>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</si>
  <si>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</si>
  <si>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</si>
  <si>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</si>
  <si>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</si>
  <si>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</si>
  <si>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</si>
  <si>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</si>
  <si>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</si>
  <si>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</si>
  <si>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</si>
  <si>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</si>
  <si>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</si>
  <si>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</si>
  <si>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</si>
  <si>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</si>
  <si>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</si>
  <si>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</si>
  <si>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</si>
  <si>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</si>
  <si>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</si>
  <si>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</si>
  <si>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</si>
  <si>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</si>
  <si>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</si>
  <si>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</si>
  <si>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</si>
  <si>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</si>
  <si>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</si>
  <si>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</si>
  <si>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</si>
  <si>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</si>
  <si>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</si>
  <si>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</si>
  <si>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</si>
  <si>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</si>
  <si>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</si>
  <si>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</si>
  <si>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</si>
  <si>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</si>
  <si>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</si>
  <si>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</si>
  <si>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</si>
  <si>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</si>
  <si>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</si>
  <si>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</si>
  <si>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</si>
  <si>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</si>
  <si>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</si>
  <si>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</si>
  <si>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</si>
  <si>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</si>
  <si>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</si>
  <si>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</si>
  <si>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</si>
  <si>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</si>
  <si>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</si>
  <si>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</si>
  <si>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</si>
  <si>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</si>
  <si>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</si>
  <si>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</si>
  <si>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</si>
  <si>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</si>
  <si>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</si>
  <si>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</si>
  <si>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</si>
  <si>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</si>
  <si>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</si>
  <si>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</si>
  <si>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</si>
  <si>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</si>
  <si>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</si>
  <si>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</si>
  <si>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</si>
  <si>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</si>
  <si>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</si>
  <si>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</si>
  <si>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</si>
  <si>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</si>
  <si>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</si>
  <si>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</si>
  <si>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</si>
  <si>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</si>
  <si>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</si>
  <si>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</si>
  <si>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</si>
  <si>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</si>
  <si>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</si>
  <si>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</si>
  <si>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</si>
  <si>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</si>
  <si>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</si>
  <si>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</si>
  <si>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</si>
  <si>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</si>
  <si>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</si>
  <si>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</si>
  <si>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</si>
  <si>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</si>
  <si>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</si>
  <si>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</si>
  <si>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</si>
  <si>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</si>
  <si>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</si>
  <si>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</si>
  <si>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</si>
  <si>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</si>
  <si>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</si>
  <si>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</si>
  <si>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</si>
  <si>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</si>
  <si>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</si>
  <si>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</si>
  <si>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</si>
  <si>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</si>
  <si>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</si>
  <si>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</si>
  <si>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</si>
  <si>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</si>
  <si>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</si>
  <si>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</si>
  <si>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</si>
  <si>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</si>
  <si>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</si>
  <si>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</si>
  <si>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</si>
  <si>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</si>
  <si>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</si>
  <si>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</si>
  <si>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</si>
  <si>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</si>
  <si>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</si>
  <si>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</si>
  <si>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</si>
  <si>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</si>
  <si>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</si>
  <si>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</si>
  <si>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</si>
  <si>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</si>
  <si>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</si>
  <si>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</si>
  <si>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</si>
  <si>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</si>
  <si>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</si>
  <si>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</si>
  <si>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</si>
  <si>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</si>
  <si>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</si>
  <si>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</si>
  <si>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</si>
  <si>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</si>
  <si>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</si>
  <si>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</si>
  <si>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</si>
  <si>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</si>
  <si>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</si>
  <si>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</si>
  <si>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</si>
  <si>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</si>
  <si>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</si>
  <si>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</si>
  <si>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</si>
  <si>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</si>
  <si>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</si>
  <si>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</si>
  <si>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</si>
  <si>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</si>
  <si>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</si>
  <si>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</si>
  <si>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</si>
  <si>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</si>
  <si>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</si>
  <si>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</si>
  <si>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</si>
  <si>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</si>
  <si>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</si>
  <si>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</si>
  <si>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</si>
  <si>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</si>
  <si>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</si>
  <si>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</si>
  <si>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</si>
  <si>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</si>
  <si>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</si>
  <si>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</si>
  <si>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</si>
  <si>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</si>
  <si>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</si>
  <si>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</si>
  <si>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</si>
  <si>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</si>
  <si>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</si>
  <si>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</si>
  <si>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</si>
  <si>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</si>
  <si>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</si>
  <si>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</si>
  <si>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</si>
  <si>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</si>
  <si>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</si>
  <si>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</si>
  <si>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</si>
  <si>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</si>
  <si>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</si>
  <si>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</si>
  <si>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</si>
  <si>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</si>
  <si>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</si>
  <si>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</si>
  <si>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</si>
  <si>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</si>
  <si>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</si>
  <si>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</si>
  <si>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</si>
  <si>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</si>
  <si>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</si>
  <si>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</si>
  <si>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</si>
  <si>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</si>
  <si>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</si>
  <si>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</si>
  <si>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</si>
  <si>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</si>
  <si>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</si>
  <si>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</si>
  <si>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</si>
  <si>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</si>
  <si>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</si>
  <si>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</si>
  <si>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</si>
  <si>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</si>
  <si>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</si>
  <si>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</si>
  <si>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</si>
  <si>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</si>
  <si>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</si>
  <si>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</si>
  <si>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</si>
  <si>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</si>
  <si>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</si>
  <si>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</si>
  <si>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</si>
  <si>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</si>
  <si>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</si>
  <si>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</si>
  <si>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</si>
  <si>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</si>
  <si>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</si>
  <si>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</si>
  <si>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</si>
  <si>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</si>
  <si>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</si>
  <si>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</si>
  <si>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</si>
  <si>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</si>
  <si>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</si>
  <si>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</si>
  <si>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</si>
  <si>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</si>
  <si>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</si>
  <si>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</si>
  <si>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</si>
  <si>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</si>
  <si>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</si>
  <si>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</si>
  <si>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</si>
  <si>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</si>
  <si>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</si>
  <si>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</si>
  <si>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</si>
  <si>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</si>
  <si>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</si>
  <si>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</si>
  <si>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</si>
  <si>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</si>
  <si>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</si>
  <si>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</si>
  <si>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</si>
  <si>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</si>
  <si>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</si>
  <si>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</si>
  <si>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</si>
  <si>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</si>
  <si>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</si>
  <si>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</si>
  <si>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</si>
  <si>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</si>
  <si>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</si>
  <si>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</si>
  <si>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</si>
  <si>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</si>
  <si>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</si>
  <si>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</si>
  <si>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</si>
  <si>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</si>
  <si>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</si>
  <si>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</si>
  <si>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</si>
  <si>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</si>
  <si>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</si>
  <si>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</si>
  <si>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</si>
  <si>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</si>
  <si>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</si>
  <si>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</si>
  <si>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</si>
  <si>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</si>
  <si>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</si>
  <si>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</si>
  <si>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</si>
  <si>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</si>
  <si>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</si>
  <si>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</si>
  <si>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</si>
  <si>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</si>
  <si>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</si>
  <si>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</si>
  <si>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</si>
  <si>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</si>
  <si>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</si>
  <si>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</si>
  <si>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</si>
  <si>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</si>
  <si>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</si>
  <si>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</si>
  <si>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</si>
  <si>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</si>
  <si>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</si>
  <si>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</si>
  <si>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</si>
  <si>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</si>
  <si>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</si>
  <si>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</si>
  <si>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</si>
  <si>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</si>
  <si>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</si>
  <si>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</si>
  <si>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</si>
  <si>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</si>
  <si>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</si>
  <si>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</si>
  <si>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</si>
  <si>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</si>
  <si>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</si>
  <si>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</si>
  <si>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</si>
  <si>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</si>
  <si>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</si>
  <si>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</si>
  <si>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</si>
  <si>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</si>
  <si>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</si>
  <si>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</si>
  <si>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</si>
  <si>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</si>
  <si>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</si>
  <si>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</si>
  <si>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</si>
  <si>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</si>
  <si>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</si>
  <si>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</si>
  <si>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</si>
  <si>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</si>
  <si>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</si>
  <si>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</si>
  <si>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</si>
  <si>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</si>
  <si>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</si>
  <si>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</si>
  <si>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</si>
  <si>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</si>
  <si>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</si>
  <si>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</si>
  <si>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</si>
  <si>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</si>
  <si>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</si>
  <si>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</si>
  <si>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</si>
  <si>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</si>
  <si>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</si>
  <si>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</si>
  <si>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</si>
  <si>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</si>
  <si>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</si>
  <si>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</si>
  <si>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</si>
  <si>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</si>
  <si>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</si>
  <si>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</si>
  <si>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</si>
  <si>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</si>
  <si>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</si>
  <si>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</si>
  <si>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</si>
  <si>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</si>
  <si>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</si>
  <si>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</si>
  <si>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</si>
  <si>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</si>
  <si>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</si>
  <si>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</si>
  <si>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</si>
  <si>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</si>
  <si>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</si>
  <si>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</si>
  <si>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</si>
  <si>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</si>
  <si>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</si>
  <si>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</si>
  <si>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</si>
  <si>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</si>
  <si>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</si>
  <si>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</si>
  <si>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</si>
  <si>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</si>
  <si>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</si>
  <si>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</si>
  <si>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</si>
  <si>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</si>
  <si>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</si>
  <si>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</si>
  <si>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</si>
  <si>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</si>
  <si>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</si>
  <si>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</si>
  <si>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</si>
  <si>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</si>
  <si>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</si>
  <si>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</si>
  <si>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</si>
  <si>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</si>
  <si>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</si>
  <si>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</si>
  <si>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</si>
  <si>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</si>
  <si>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</si>
  <si>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</si>
  <si>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</si>
  <si>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</si>
  <si>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</si>
  <si>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</si>
  <si>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</si>
  <si>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</si>
  <si>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</si>
  <si>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</si>
  <si>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</si>
  <si>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</si>
  <si>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</si>
  <si>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</si>
  <si>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</si>
  <si>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</si>
  <si>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</si>
  <si>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</si>
  <si>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</si>
  <si>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</si>
  <si>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</si>
  <si>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</si>
  <si>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</si>
  <si>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</si>
  <si>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</si>
  <si>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</si>
  <si>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</si>
  <si>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</si>
  <si>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</si>
  <si>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</si>
  <si>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</si>
  <si>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</si>
  <si>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</si>
  <si>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</si>
  <si>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</si>
  <si>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</si>
  <si>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</si>
  <si>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</si>
  <si>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</si>
  <si>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</si>
  <si>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</si>
  <si>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</si>
  <si>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</si>
  <si>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</si>
  <si>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</si>
  <si>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</si>
  <si>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</si>
  <si>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</si>
  <si>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</si>
  <si>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</si>
  <si>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</si>
  <si>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</si>
  <si>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</si>
  <si>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</si>
  <si>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</si>
  <si>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</si>
  <si>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</si>
  <si>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</si>
  <si>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</si>
  <si>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</si>
  <si>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</si>
  <si>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</si>
  <si>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</si>
  <si>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</si>
  <si>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</si>
  <si>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</si>
  <si>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</si>
  <si>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</si>
  <si>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</si>
  <si>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</si>
  <si>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</si>
  <si>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</si>
  <si>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</si>
  <si>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</si>
  <si>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</si>
  <si>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</si>
  <si>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</si>
  <si>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</si>
  <si>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</si>
  <si>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</si>
  <si>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</si>
  <si>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</si>
  <si>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</si>
  <si>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</si>
  <si>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</si>
  <si>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</si>
  <si>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</si>
  <si>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</si>
  <si>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</si>
  <si>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</si>
  <si>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</si>
  <si>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</si>
  <si>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</si>
  <si>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</si>
  <si>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</si>
  <si>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</si>
  <si>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</si>
  <si>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</si>
  <si>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</si>
  <si>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</si>
  <si>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</si>
  <si>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</si>
  <si>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</si>
  <si>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</si>
  <si>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</si>
  <si>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</si>
  <si>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</si>
  <si>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</si>
  <si>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</si>
  <si>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</si>
  <si>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</si>
  <si>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</si>
  <si>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</si>
  <si>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</si>
  <si>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</si>
  <si>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</si>
  <si>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</si>
  <si>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</si>
  <si>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</si>
  <si>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</si>
  <si>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</si>
  <si>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</si>
  <si>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</si>
  <si>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</si>
  <si>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</si>
  <si>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</si>
  <si>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</si>
  <si>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</si>
  <si>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</si>
  <si>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</si>
  <si>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</si>
  <si>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</si>
  <si>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</si>
  <si>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</si>
  <si>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</si>
  <si>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</si>
  <si>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</si>
  <si>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</si>
  <si>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</si>
  <si>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</si>
  <si>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</si>
  <si>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</si>
  <si>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</si>
  <si>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</si>
  <si>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</si>
  <si>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</si>
  <si>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</si>
  <si>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</si>
  <si>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</si>
  <si>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</si>
  <si>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</si>
  <si>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</si>
  <si>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</si>
  <si>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</si>
  <si>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</si>
  <si>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</si>
  <si>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</si>
  <si>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</si>
  <si>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</si>
  <si>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</si>
  <si>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</si>
  <si>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</si>
  <si>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</si>
  <si>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</si>
  <si>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</si>
  <si>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</si>
  <si>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</si>
  <si>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</si>
  <si>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</si>
  <si>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</si>
  <si>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</si>
  <si>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</si>
  <si>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</si>
  <si>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</si>
  <si>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</si>
  <si>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</si>
  <si>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</si>
  <si>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</si>
  <si>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</si>
  <si>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</si>
  <si>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</si>
  <si>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</si>
  <si>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</si>
  <si>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</si>
  <si>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</si>
  <si>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</si>
  <si>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</si>
  <si>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</si>
  <si>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</si>
  <si>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</si>
  <si>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</si>
  <si>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</si>
  <si>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</si>
  <si>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</si>
  <si>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</si>
  <si>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</si>
  <si>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</si>
  <si>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</si>
  <si>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</si>
  <si>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</si>
  <si>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</si>
  <si>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</si>
  <si>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</si>
  <si>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</si>
  <si>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</si>
  <si>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</si>
  <si>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</si>
  <si>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</si>
  <si>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</si>
  <si>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</si>
  <si>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</si>
  <si>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</si>
  <si>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</si>
  <si>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</si>
  <si>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</si>
  <si>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</si>
  <si>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</si>
  <si>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</si>
  <si>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</si>
  <si>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</si>
  <si>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</si>
  <si>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</si>
  <si>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</si>
  <si>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</si>
  <si>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</si>
  <si>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</si>
  <si>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</si>
  <si>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</si>
  <si>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</si>
  <si>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</si>
  <si>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</si>
  <si>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</si>
  <si>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</si>
  <si>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</si>
  <si>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</si>
  <si>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</si>
  <si>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</si>
  <si>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</si>
  <si>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</si>
  <si>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</si>
  <si>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</si>
  <si>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</si>
  <si>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</si>
  <si>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</si>
  <si>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</si>
  <si>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</si>
  <si>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</si>
  <si>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</si>
  <si>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</si>
  <si>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</si>
  <si>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</si>
  <si>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</si>
  <si>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</si>
  <si>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</si>
  <si>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</si>
  <si>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</si>
  <si>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</si>
  <si>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</si>
  <si>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</si>
  <si>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</si>
  <si>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</si>
  <si>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</si>
  <si>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</si>
  <si>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</si>
  <si>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</si>
  <si>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</si>
  <si>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</si>
  <si>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</si>
  <si>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</si>
  <si>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</si>
  <si>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</si>
  <si>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</si>
  <si>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</si>
  <si>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</si>
  <si>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</si>
  <si>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</si>
  <si>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</si>
  <si>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</si>
  <si>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</si>
  <si>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</si>
  <si>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</si>
  <si>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</si>
  <si>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</si>
  <si>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</si>
  <si>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</si>
  <si>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</si>
  <si>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</si>
  <si>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</si>
  <si>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</si>
  <si>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</si>
  <si>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</si>
  <si>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</si>
  <si>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</si>
  <si>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</si>
  <si>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</si>
  <si>
    <t>ブランド</t>
  </si>
  <si>
    <t>グレード感</t>
  </si>
  <si>
    <t>バリエーション</t>
  </si>
  <si>
    <t>コメント</t>
  </si>
  <si>
    <t>中～高</t>
  </si>
  <si>
    <t>Soloist / Dinky / Kelly / King V / Warriorなど非常に多い</t>
  </si>
  <si>
    <t>Pro-Mod系など現行モデルが豊富。Jacksonとは違う方向性</t>
  </si>
  <si>
    <t>Electromatic～Professionalまで幅広い。セミアコ系も大量</t>
  </si>
  <si>
    <t>PRS SE / Core</t>
  </si>
  <si>
    <t>既にPRSあるけど、SE系まで拾うならかなり増える</t>
  </si>
  <si>
    <t>Tokai</t>
  </si>
  <si>
    <t>国産系でかなり面白い。Les Paul系、ST系、TE系など</t>
  </si>
  <si>
    <t>国産。Expert / J-Standard等でモデル展開が多い</t>
  </si>
  <si>
    <t>Universe～Global～Craft等、価格帯・モデル数ともに多い</t>
  </si>
  <si>
    <t>Navigator</t>
  </si>
  <si>
    <t>高</t>
  </si>
  <si>
    <t>★★★</t>
  </si>
  <si>
    <t>ESP系だけど独立ブランドとして見ると高級国産枠</t>
  </si>
  <si>
    <t>日本ブランド。変形系を含め個性的</t>
  </si>
  <si>
    <t>Duvell / Regius / Hydra等。ハイエンド寄り</t>
  </si>
  <si>
    <t>既に入ってるけど、Modern / Classic / Alt T等かなり多い</t>
  </si>
  <si>
    <t>Tom Anderson</t>
  </si>
  <si>
    <t>ハイエンド。Classic / Angel / Drop Top等</t>
  </si>
  <si>
    <t>既にMusicManならブランド表記統一候補</t>
  </si>
  <si>
    <t>EVH</t>
  </si>
  <si>
    <t>Wolfgang中心だがグレード違いが多い</t>
  </si>
  <si>
    <t>Rickenbacker</t>
  </si>
  <si>
    <t>モデル数自体はそこまで多くないがブランド価値は高い</t>
  </si>
  <si>
    <t>中</t>
  </si>
  <si>
    <t>国産ヴィンテージ系。モデル展開が非常に広い</t>
  </si>
  <si>
    <t>Ernie Ball Music Man</t>
    <phoneticPr fontId="2"/>
  </si>
  <si>
    <t>Caparison — 日本のハイエンド系。モデル数もそこそこ</t>
  </si>
  <si>
    <t>Kiesel — カスタムオーダー型でバリエーションが異常に多い</t>
  </si>
  <si>
    <t>Vigier — フランスのハイエンド</t>
  </si>
  <si>
    <t>Knaggs — 高級系、モデル展開もそこそこ</t>
  </si>
  <si>
    <t>LTD — ESPと別ブランドとして扱うなら大量追加できる</t>
  </si>
  <si>
    <t>colly、価格なし、モデル少な目</t>
    <rPh sb="6" eb="8">
      <t>カカク</t>
    </rPh>
    <rPh sb="14" eb="15">
      <t>スク</t>
    </rPh>
    <rPh sb="16" eb="17">
      <t>メ</t>
    </rPh>
    <phoneticPr fontId="2"/>
  </si>
  <si>
    <t>Bacchus</t>
    <phoneticPr fontId="2"/>
  </si>
  <si>
    <t>momoseと同じ構造かも。クロール実績あり</t>
    <rPh sb="7" eb="8">
      <t>オナ</t>
    </rPh>
    <rPh sb="9" eb="11">
      <t>コウゾウ</t>
    </rPh>
    <rPh sb="18" eb="20">
      <t>ジッセキ</t>
    </rPh>
    <phoneticPr fontId="2"/>
  </si>
  <si>
    <t>Killer</t>
    <phoneticPr fontId="2"/>
  </si>
  <si>
    <t>カラー取れない</t>
    <rPh sb="3" eb="4">
      <t>ト</t>
    </rPh>
    <phoneticPr fontId="2"/>
  </si>
  <si>
    <t>FUJIGEN</t>
    <phoneticPr fontId="2"/>
  </si>
  <si>
    <t>colly</t>
    <phoneticPr fontId="2"/>
  </si>
  <si>
    <t>Aristides — 超ハイエンド。モデル数は少なめ</t>
    <phoneticPr fontId="2"/>
  </si>
  <si>
    <t>見送り</t>
    <rPh sb="0" eb="2">
      <t>ミオク</t>
    </rPh>
    <phoneticPr fontId="2"/>
  </si>
  <si>
    <t>Mayones — メタル系ハイエンドとして非常に強い</t>
    <phoneticPr fontId="2"/>
  </si>
  <si>
    <t>モデル多め？カラバリをどう取るか。</t>
    <rPh sb="3" eb="4">
      <t>オオ</t>
    </rPh>
    <rPh sb="13" eb="14">
      <t>ト</t>
    </rPh>
    <phoneticPr fontId="2"/>
  </si>
  <si>
    <t>Charvel</t>
    <phoneticPr fontId="2"/>
  </si>
  <si>
    <t>colly、モデル多め？カラバリとれる</t>
    <rPh sb="9" eb="10">
      <t>オオ</t>
    </rPh>
    <phoneticPr fontId="2"/>
  </si>
  <si>
    <t>Mayones</t>
    <phoneticPr fontId="2"/>
  </si>
  <si>
    <t>Greco</t>
    <phoneticPr fontId="2"/>
  </si>
  <si>
    <t>Jackson</t>
    <phoneticPr fontId="2"/>
  </si>
  <si>
    <t>colly、価格なし、モデル少なめ？（カラー表記にクセあり）</t>
    <rPh sb="6" eb="8">
      <t>カカク</t>
    </rPh>
    <rPh sb="14" eb="15">
      <t>スク</t>
    </rPh>
    <rPh sb="22" eb="24">
      <t>ヒョウキ</t>
    </rPh>
    <phoneticPr fontId="2"/>
  </si>
  <si>
    <t>Gretsch</t>
    <phoneticPr fontId="2"/>
  </si>
  <si>
    <t>Suhr</t>
    <phoneticPr fontId="2"/>
  </si>
  <si>
    <t>Fernandes</t>
    <phoneticPr fontId="2"/>
  </si>
  <si>
    <t>MAYONES</t>
    <phoneticPr fontId="2"/>
  </si>
  <si>
    <t>https://mayones.com/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</si>
</sst>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8"/>
  <sheetViews>
    <sheetView tabSelected="1" topLeftCell="A82" zoomScaleNormal="100" workbookViewId="0">
      <selection activeCell="C106" sqref="C106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6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ref="K104:K105" si="15">"INSERT INTO m_code VALUES ("&amp;"'"&amp;B104&amp;"'"&amp;","&amp;E104&amp;","&amp;"'"&amp;C104&amp;"'"&amp;","&amp;"'"&amp;D104&amp;"'"&amp;","&amp;"'"&amp;F104&amp;"'"&amp;","&amp;G104&amp;","&amp;H104&amp;","&amp;"'"&amp;I104&amp;"'"&amp;");"</f>
        <v>INSERT INTO m_code VALUES ('guitar_makers',12,'Momose','','',0,0.0,'https://www.deviser.co.jp/momose');</v>
      </c>
    </row>
    <row r="105" spans="2:11">
      <c r="B105" s="8" t="s">
        <v>1777</v>
      </c>
      <c r="C105" s="8" t="s">
        <v>2370</v>
      </c>
      <c r="D105" s="8"/>
      <c r="E105" s="8">
        <v>13</v>
      </c>
      <c r="F105" s="8"/>
      <c r="G105" s="9">
        <v>0</v>
      </c>
      <c r="H105" s="9" t="s">
        <v>125</v>
      </c>
      <c r="I105" s="8"/>
      <c r="K105" s="5" t="str">
        <f t="shared" si="15"/>
        <v>INSERT INTO m_code VALUES ('guitar_makers',13,'Fernandes','','',0,0.0,'');</v>
      </c>
    </row>
    <row r="106" spans="2:11">
      <c r="B106" s="8" t="s">
        <v>1777</v>
      </c>
      <c r="C106" s="8" t="s">
        <v>2371</v>
      </c>
      <c r="D106" s="8"/>
      <c r="E106" s="8">
        <v>14</v>
      </c>
      <c r="F106" s="8"/>
      <c r="G106" s="9">
        <v>0</v>
      </c>
      <c r="H106" s="9" t="s">
        <v>125</v>
      </c>
      <c r="I106" s="8" t="s">
        <v>2372</v>
      </c>
      <c r="K106" s="5" t="str">
        <f t="shared" si="14"/>
        <v>INSERT INTO m_code VALUES ('guitar_makers',14,'MAYONES','','',0,0.0,'https://mayones.com/');</v>
      </c>
    </row>
    <row r="107" spans="2:11">
      <c r="B107" s="6" t="s">
        <v>1542</v>
      </c>
      <c r="C107" s="6" t="s">
        <v>1388</v>
      </c>
      <c r="D107" s="6" t="s">
        <v>1117</v>
      </c>
      <c r="E107" s="7" t="s">
        <v>123</v>
      </c>
      <c r="F107" s="6" t="s">
        <v>120</v>
      </c>
      <c r="G107" s="6" t="s">
        <v>121</v>
      </c>
      <c r="H107" s="6" t="s">
        <v>122</v>
      </c>
      <c r="I107" s="6" t="s">
        <v>133</v>
      </c>
    </row>
    <row r="108" spans="2:11">
      <c r="B108" s="8" t="s">
        <v>1778</v>
      </c>
      <c r="C108" s="8" t="s">
        <v>1425</v>
      </c>
      <c r="D108" s="8"/>
      <c r="E108" s="8">
        <v>1</v>
      </c>
      <c r="F108" s="8" t="s">
        <v>1439</v>
      </c>
      <c r="G108" s="9">
        <v>0</v>
      </c>
      <c r="H108" s="9" t="s">
        <v>125</v>
      </c>
      <c r="I108" s="8" t="s">
        <v>1463</v>
      </c>
      <c r="K108" s="5" t="str">
        <f t="shared" ref="K108:K143" si="16">"INSERT INTO m_code VALUES ("&amp;"'"&amp;B108&amp;"'"&amp;","&amp;E108&amp;","&amp;"'"&amp;C108&amp;"'"&amp;","&amp;"'"&amp;D108&amp;"'"&amp;","&amp;"'"&amp;F108&amp;"'"&amp;","&amp;G108&amp;","&amp;H108&amp;","&amp;"'"&amp;I108&amp;"'"&amp;");"</f>
        <v>INSERT INTO m_code VALUES ('guitar_woods',1,'HardMaple','','ハードメイプル',0,0.0,'硬質でタイト、明瞭なアタック。');</v>
      </c>
    </row>
    <row r="109" spans="2:11">
      <c r="B109" s="8" t="s">
        <v>1778</v>
      </c>
      <c r="C109" s="8" t="s">
        <v>1426</v>
      </c>
      <c r="D109" s="8"/>
      <c r="E109" s="8">
        <v>2</v>
      </c>
      <c r="F109" s="8" t="s">
        <v>1440</v>
      </c>
      <c r="G109" s="9">
        <v>0</v>
      </c>
      <c r="H109" s="9" t="s">
        <v>125</v>
      </c>
      <c r="I109" s="8" t="s">
        <v>1464</v>
      </c>
      <c r="K109" s="5" t="str">
        <f t="shared" si="16"/>
        <v>INSERT INTO m_code VALUES ('guitar_woods',2,'FlameMaple','','フレイムメイプル',0,0.0,'明るく抜けが良く、華やかな倍音。');</v>
      </c>
    </row>
    <row r="110" spans="2:11">
      <c r="B110" s="8" t="s">
        <v>1778</v>
      </c>
      <c r="C110" s="8" t="s">
        <v>1427</v>
      </c>
      <c r="D110" s="8"/>
      <c r="E110" s="8">
        <v>3</v>
      </c>
      <c r="F110" s="8" t="s">
        <v>1441</v>
      </c>
      <c r="G110" s="9">
        <v>0</v>
      </c>
      <c r="H110" s="9" t="s">
        <v>125</v>
      </c>
      <c r="I110" s="8" t="s">
        <v>1465</v>
      </c>
      <c r="K110" s="5" t="str">
        <f t="shared" si="16"/>
        <v>INSERT INTO m_code VALUES ('guitar_woods',3,'QuiltedMaple','','キルテッドメイプル',0,0.0,'立体的で広がりがあり、煌びやかな響き。');</v>
      </c>
    </row>
    <row r="111" spans="2:11">
      <c r="B111" s="8" t="s">
        <v>1778</v>
      </c>
      <c r="C111" s="8" t="s">
        <v>1428</v>
      </c>
      <c r="D111" s="8"/>
      <c r="E111" s="8">
        <v>4</v>
      </c>
      <c r="F111" s="8" t="s">
        <v>1442</v>
      </c>
      <c r="G111" s="9">
        <v>0</v>
      </c>
      <c r="H111" s="9" t="s">
        <v>125</v>
      </c>
      <c r="I111" s="8" t="s">
        <v>1466</v>
      </c>
      <c r="K111" s="5" t="str">
        <f t="shared" si="16"/>
        <v>INSERT INTO m_code VALUES ('guitar_woods',4,'BirdseyeMaple','','バーズアイメイプル',0,0.0,'粒立ちが良く、明るくシャープ。');</v>
      </c>
    </row>
    <row r="112" spans="2:11">
      <c r="B112" s="8" t="s">
        <v>1778</v>
      </c>
      <c r="C112" s="8" t="s">
        <v>1429</v>
      </c>
      <c r="D112" s="8"/>
      <c r="E112" s="8">
        <v>5</v>
      </c>
      <c r="F112" s="8" t="s">
        <v>1443</v>
      </c>
      <c r="G112" s="9">
        <v>0</v>
      </c>
      <c r="H112" s="9" t="s">
        <v>125</v>
      </c>
      <c r="I112" s="8" t="s">
        <v>1467</v>
      </c>
      <c r="K112" s="5" t="str">
        <f t="shared" si="16"/>
        <v>INSERT INTO m_code VALUES ('guitar_woods',5,'RoastedMaple','','ローステッドメイプル',0,0.0,'引き締まったタイトな音で反応が速い。');</v>
      </c>
    </row>
    <row r="113" spans="2:11">
      <c r="B113" s="8" t="s">
        <v>1778</v>
      </c>
      <c r="C113" s="8" t="s">
        <v>1389</v>
      </c>
      <c r="D113" s="8"/>
      <c r="E113" s="8">
        <v>6</v>
      </c>
      <c r="F113" s="8" t="s">
        <v>1438</v>
      </c>
      <c r="G113" s="9">
        <v>0</v>
      </c>
      <c r="H113" s="9" t="s">
        <v>125</v>
      </c>
      <c r="I113" s="8" t="s">
        <v>1462</v>
      </c>
      <c r="K113" s="5" t="str">
        <f t="shared" si="16"/>
        <v>INSERT INTO m_code VALUES ('guitar_woods',6,'Maple','','メイプル',0,0.0,'明るくハリがあり、アタックが強い。');</v>
      </c>
    </row>
    <row r="114" spans="2:11">
      <c r="B114" s="8" t="s">
        <v>1778</v>
      </c>
      <c r="C114" s="8" t="s">
        <v>1430</v>
      </c>
      <c r="D114" s="8"/>
      <c r="E114" s="8">
        <v>7</v>
      </c>
      <c r="F114" s="8" t="s">
        <v>1444</v>
      </c>
      <c r="G114" s="9">
        <v>0</v>
      </c>
      <c r="H114" s="9" t="s">
        <v>125</v>
      </c>
      <c r="I114" s="8" t="s">
        <v>1469</v>
      </c>
      <c r="K114" s="5" t="str">
        <f t="shared" si="16"/>
        <v>INSERT INTO m_code VALUES ('guitar_woods',7,'HonduranMahogany','','ホンジュラスマホガニー',0,0.0,'深みがあり、太くリッチな中低域。');</v>
      </c>
    </row>
    <row r="115" spans="2:11">
      <c r="B115" s="8" t="s">
        <v>1778</v>
      </c>
      <c r="C115" s="8" t="s">
        <v>1390</v>
      </c>
      <c r="D115" s="8"/>
      <c r="E115" s="8">
        <v>8</v>
      </c>
      <c r="F115" s="8" t="s">
        <v>1408</v>
      </c>
      <c r="G115" s="9">
        <v>0</v>
      </c>
      <c r="H115" s="9" t="s">
        <v>125</v>
      </c>
      <c r="I115" s="8" t="s">
        <v>1468</v>
      </c>
      <c r="K115" s="5" t="str">
        <f t="shared" si="16"/>
        <v>INSERT INTO m_code VALUES ('guitar_woods',8,'Mahogany','','マホガニー',0,0.0,'中低域が豊かで温かい音。');</v>
      </c>
    </row>
    <row r="116" spans="2:11">
      <c r="B116" s="8" t="s">
        <v>1778</v>
      </c>
      <c r="C116" s="8" t="s">
        <v>1431</v>
      </c>
      <c r="D116" s="8"/>
      <c r="E116" s="8">
        <v>9</v>
      </c>
      <c r="F116" s="8" t="s">
        <v>1445</v>
      </c>
      <c r="G116" s="9">
        <v>0</v>
      </c>
      <c r="H116" s="9" t="s">
        <v>125</v>
      </c>
      <c r="I116" s="8" t="s">
        <v>1470</v>
      </c>
      <c r="K116" s="5" t="str">
        <f t="shared" si="16"/>
        <v>INSERT INTO m_code VALUES ('guitar_woods',9,'Sapele','','サペリ',0,0.0,'温かく柔らかいトーンでバランスが良い。');</v>
      </c>
    </row>
    <row r="117" spans="2:11">
      <c r="B117" s="8" t="s">
        <v>1778</v>
      </c>
      <c r="C117" s="8" t="s">
        <v>1397</v>
      </c>
      <c r="D117" s="8"/>
      <c r="E117" s="8">
        <v>10</v>
      </c>
      <c r="F117" s="8" t="s">
        <v>1446</v>
      </c>
      <c r="G117" s="9">
        <v>0</v>
      </c>
      <c r="H117" s="9" t="s">
        <v>125</v>
      </c>
      <c r="I117" s="8" t="s">
        <v>1471</v>
      </c>
      <c r="K117" s="5" t="str">
        <f t="shared" si="16"/>
        <v>INSERT INTO m_code VALUES ('guitar_woods',10,'Korina','','コリーナ',0,0.0,'中域が豊かで太い音。');</v>
      </c>
    </row>
    <row r="118" spans="2:11">
      <c r="B118" s="8" t="s">
        <v>1778</v>
      </c>
      <c r="C118" s="8" t="s">
        <v>1432</v>
      </c>
      <c r="D118" s="8"/>
      <c r="E118" s="8">
        <v>11</v>
      </c>
      <c r="F118" s="8" t="s">
        <v>1447</v>
      </c>
      <c r="G118" s="9">
        <v>0</v>
      </c>
      <c r="H118" s="9" t="s">
        <v>125</v>
      </c>
      <c r="I118" s="8" t="s">
        <v>1472</v>
      </c>
      <c r="K118" s="5" t="str">
        <f t="shared" si="16"/>
        <v>INSERT INTO m_code VALUES ('guitar_woods',11,'WhiteKorina','','ホワイトコリーナ',0,0.0,'明るく抜けが良く、軽快なレスポンス。');</v>
      </c>
    </row>
    <row r="119" spans="2:11">
      <c r="B119" s="8" t="s">
        <v>1778</v>
      </c>
      <c r="C119" s="8" t="s">
        <v>1391</v>
      </c>
      <c r="D119" s="8"/>
      <c r="E119" s="8">
        <v>12</v>
      </c>
      <c r="F119" s="8" t="s">
        <v>1409</v>
      </c>
      <c r="G119" s="9">
        <v>0</v>
      </c>
      <c r="H119" s="9" t="s">
        <v>125</v>
      </c>
      <c r="I119" s="8" t="s">
        <v>1473</v>
      </c>
      <c r="K119" s="5" t="str">
        <f t="shared" si="16"/>
        <v>INSERT INTO m_code VALUES ('guitar_woods',12,'Alder','','アルダー',0,0.0,'バランスが良くクセが少ない。');</v>
      </c>
    </row>
    <row r="120" spans="2:11">
      <c r="B120" s="8" t="s">
        <v>1778</v>
      </c>
      <c r="C120" s="8" t="s">
        <v>1392</v>
      </c>
      <c r="D120" s="8"/>
      <c r="E120" s="8">
        <v>13</v>
      </c>
      <c r="F120" s="8" t="s">
        <v>1448</v>
      </c>
      <c r="G120" s="9">
        <v>0</v>
      </c>
      <c r="H120" s="9" t="s">
        <v>125</v>
      </c>
      <c r="I120" s="8" t="s">
        <v>1474</v>
      </c>
      <c r="K120" s="5" t="str">
        <f t="shared" si="16"/>
        <v>INSERT INTO m_code VALUES ('guitar_woods',13,'Ash','','アッシュ',0,0.0,'明るく抜ける音でアタックが強い。');</v>
      </c>
    </row>
    <row r="121" spans="2:11">
      <c r="B121" s="8" t="s">
        <v>1778</v>
      </c>
      <c r="C121" s="8" t="s">
        <v>1393</v>
      </c>
      <c r="D121" s="8"/>
      <c r="E121" s="8">
        <v>14</v>
      </c>
      <c r="F121" s="8" t="s">
        <v>1449</v>
      </c>
      <c r="G121" s="9">
        <v>0</v>
      </c>
      <c r="H121" s="9" t="s">
        <v>125</v>
      </c>
      <c r="I121" s="8" t="s">
        <v>1475</v>
      </c>
      <c r="K121" s="5" t="str">
        <f t="shared" si="16"/>
        <v>INSERT INTO m_code VALUES ('guitar_woods',14,'Basswood','','バスウッド',0,0.0,'軽く柔らかく、ウォームで扱いやすい。');</v>
      </c>
    </row>
    <row r="122" spans="2:11">
      <c r="B122" s="8" t="s">
        <v>1778</v>
      </c>
      <c r="C122" s="8" t="s">
        <v>1402</v>
      </c>
      <c r="D122" s="8"/>
      <c r="E122" s="8">
        <v>15</v>
      </c>
      <c r="F122" s="8" t="s">
        <v>1450</v>
      </c>
      <c r="G122" s="9">
        <v>0</v>
      </c>
      <c r="H122" s="9" t="s">
        <v>125</v>
      </c>
      <c r="I122" s="8" t="s">
        <v>1476</v>
      </c>
      <c r="K122" s="5" t="str">
        <f t="shared" si="16"/>
        <v>INSERT INTO m_code VALUES ('guitar_woods',15,'Poplar','','ポプラ',0,0.0,'軽く素直でクセが少ない。');</v>
      </c>
    </row>
    <row r="123" spans="2:11">
      <c r="B123" s="8" t="s">
        <v>1778</v>
      </c>
      <c r="C123" s="8" t="s">
        <v>1398</v>
      </c>
      <c r="D123" s="8"/>
      <c r="E123" s="8">
        <v>16</v>
      </c>
      <c r="F123" s="8" t="s">
        <v>1451</v>
      </c>
      <c r="G123" s="9">
        <v>0</v>
      </c>
      <c r="H123" s="9" t="s">
        <v>125</v>
      </c>
      <c r="I123" s="8" t="s">
        <v>1477</v>
      </c>
      <c r="K123" s="5" t="str">
        <f t="shared" si="16"/>
        <v>INSERT INTO m_code VALUES ('guitar_woods',16,'Spruce','','スプルース',0,0.0,'軽く響きが良く、明るいトーン。');</v>
      </c>
    </row>
    <row r="124" spans="2:11">
      <c r="B124" s="8" t="s">
        <v>1778</v>
      </c>
      <c r="C124" s="8" t="s">
        <v>1399</v>
      </c>
      <c r="D124" s="8"/>
      <c r="E124" s="8">
        <v>17</v>
      </c>
      <c r="F124" s="8" t="s">
        <v>1452</v>
      </c>
      <c r="G124" s="9">
        <v>0</v>
      </c>
      <c r="H124" s="9" t="s">
        <v>125</v>
      </c>
      <c r="I124" s="8" t="s">
        <v>1478</v>
      </c>
      <c r="K124" s="5" t="str">
        <f t="shared" si="16"/>
        <v>INSERT INTO m_code VALUES ('guitar_woods',17,'Cedar','','シダー',0,0.0,'柔らかく温かい音。');</v>
      </c>
    </row>
    <row r="125" spans="2:11">
      <c r="B125" s="8" t="s">
        <v>1778</v>
      </c>
      <c r="C125" s="8" t="s">
        <v>1433</v>
      </c>
      <c r="D125" s="8"/>
      <c r="E125" s="8">
        <v>18</v>
      </c>
      <c r="F125" s="8" t="s">
        <v>1454</v>
      </c>
      <c r="G125" s="9">
        <v>0</v>
      </c>
      <c r="H125" s="9" t="s">
        <v>125</v>
      </c>
      <c r="I125" s="8" t="s">
        <v>1480</v>
      </c>
      <c r="K125" s="5" t="str">
        <f t="shared" si="16"/>
        <v>INSERT INTO m_code VALUES ('guitar_woods',18,'IndianRosewood','','インディアンローズウッド',0,0.0,'甘く深みがあり、豊かな中低域。');</v>
      </c>
    </row>
    <row r="126" spans="2:11">
      <c r="B126" s="8" t="s">
        <v>1778</v>
      </c>
      <c r="C126" s="8" t="s">
        <v>1434</v>
      </c>
      <c r="D126" s="8"/>
      <c r="E126" s="8">
        <v>19</v>
      </c>
      <c r="F126" s="8" t="s">
        <v>1455</v>
      </c>
      <c r="G126" s="9">
        <v>0</v>
      </c>
      <c r="H126" s="9" t="s">
        <v>125</v>
      </c>
      <c r="I126" s="8" t="s">
        <v>1481</v>
      </c>
      <c r="K126" s="5" t="str">
        <f t="shared" si="16"/>
        <v>INSERT INTO m_code VALUES ('guitar_woods',19,'BrazilianRosewood','','ブラジリアンローズウッド',0,0.0,'濃厚で深いトーン、豊かな倍音。');</v>
      </c>
    </row>
    <row r="127" spans="2:11">
      <c r="B127" s="8" t="s">
        <v>1778</v>
      </c>
      <c r="C127" s="8" t="s">
        <v>1394</v>
      </c>
      <c r="D127" s="8"/>
      <c r="E127" s="8">
        <v>20</v>
      </c>
      <c r="F127" s="8" t="s">
        <v>1453</v>
      </c>
      <c r="G127" s="9">
        <v>0</v>
      </c>
      <c r="H127" s="9" t="s">
        <v>125</v>
      </c>
      <c r="I127" s="8" t="s">
        <v>1479</v>
      </c>
      <c r="K127" s="5" t="str">
        <f t="shared" si="16"/>
        <v>INSERT INTO m_code VALUES ('guitar_woods',20,'Rosewood','','ローズウッド',0,0.0,'甘く丸い音で中域が豊か。');</v>
      </c>
    </row>
    <row r="128" spans="2:11">
      <c r="B128" s="8" t="s">
        <v>1778</v>
      </c>
      <c r="C128" s="8" t="s">
        <v>1435</v>
      </c>
      <c r="D128" s="8"/>
      <c r="E128" s="8">
        <v>21</v>
      </c>
      <c r="F128" s="8" t="s">
        <v>1410</v>
      </c>
      <c r="G128" s="9">
        <v>0</v>
      </c>
      <c r="H128" s="9" t="s">
        <v>125</v>
      </c>
      <c r="I128" s="8" t="s">
        <v>1482</v>
      </c>
      <c r="K128" s="5" t="str">
        <f t="shared" si="16"/>
        <v>INSERT INTO m_code VALUES ('guitar_woods',21,'PauFerro','','パーフェロー',0,0.0,'明るく硬質でタイトな音。');</v>
      </c>
    </row>
    <row r="129" spans="2:11">
      <c r="B129" s="8" t="s">
        <v>1778</v>
      </c>
      <c r="C129" s="8" t="s">
        <v>1400</v>
      </c>
      <c r="D129" s="8"/>
      <c r="E129" s="8">
        <v>22</v>
      </c>
      <c r="F129" s="8" t="s">
        <v>1411</v>
      </c>
      <c r="G129" s="9">
        <v>0</v>
      </c>
      <c r="H129" s="9" t="s">
        <v>125</v>
      </c>
      <c r="I129" s="8" t="s">
        <v>1483</v>
      </c>
      <c r="K129" s="5" t="str">
        <f t="shared" si="16"/>
        <v>INSERT INTO m_code VALUES ('guitar_woods',22,'Ovangkol','','オバンコール',0,0.0,'中域が豊かで温かいトーン。');</v>
      </c>
    </row>
    <row r="130" spans="2:11">
      <c r="B130" s="8" t="s">
        <v>1778</v>
      </c>
      <c r="C130" s="8" t="s">
        <v>1395</v>
      </c>
      <c r="D130" s="8"/>
      <c r="E130" s="8">
        <v>23</v>
      </c>
      <c r="F130" s="8" t="s">
        <v>1456</v>
      </c>
      <c r="G130" s="9">
        <v>0</v>
      </c>
      <c r="H130" s="9" t="s">
        <v>125</v>
      </c>
      <c r="I130" s="8" t="s">
        <v>1484</v>
      </c>
      <c r="K130" s="5" t="str">
        <f t="shared" si="16"/>
        <v>INSERT INTO m_code VALUES ('guitar_woods',23,'Ebony','','エボニー',0,0.0,'硬くタイトで高域がクリア。');</v>
      </c>
    </row>
    <row r="131" spans="2:11">
      <c r="B131" s="8" t="s">
        <v>1778</v>
      </c>
      <c r="C131" s="8" t="s">
        <v>1396</v>
      </c>
      <c r="D131" s="8"/>
      <c r="E131" s="8">
        <v>24</v>
      </c>
      <c r="F131" s="8" t="s">
        <v>1457</v>
      </c>
      <c r="G131" s="9">
        <v>0</v>
      </c>
      <c r="H131" s="9" t="s">
        <v>125</v>
      </c>
      <c r="I131" s="8" t="s">
        <v>1416</v>
      </c>
      <c r="K131" s="5" t="str">
        <f t="shared" si="16"/>
        <v>INSERT INTO m_code VALUES ('guitar_woods',24,'Walnut','','ウォルナット',0,0.0,'中域が豊かで落ち着いたトーン。');</v>
      </c>
    </row>
    <row r="132" spans="2:11">
      <c r="B132" s="8" t="s">
        <v>1778</v>
      </c>
      <c r="C132" s="8" t="s">
        <v>1436</v>
      </c>
      <c r="D132" s="8"/>
      <c r="E132" s="8">
        <v>25</v>
      </c>
      <c r="F132" s="8" t="s">
        <v>1458</v>
      </c>
      <c r="G132" s="9">
        <v>0</v>
      </c>
      <c r="H132" s="9" t="s">
        <v>125</v>
      </c>
      <c r="I132" s="8" t="s">
        <v>1485</v>
      </c>
      <c r="K132" s="5" t="str">
        <f t="shared" si="16"/>
        <v>INSERT INTO m_code VALUES ('guitar_woods',25,'Padauk','','パドゥーク',0,0.0,'明るく抜けが良く、個性的な響き。');</v>
      </c>
    </row>
    <row r="133" spans="2:11">
      <c r="B133" s="8" t="s">
        <v>1778</v>
      </c>
      <c r="C133" s="8" t="s">
        <v>1401</v>
      </c>
      <c r="D133" s="8"/>
      <c r="E133" s="8">
        <v>26</v>
      </c>
      <c r="F133" s="8" t="s">
        <v>1459</v>
      </c>
      <c r="G133" s="9">
        <v>0</v>
      </c>
      <c r="H133" s="9" t="s">
        <v>125</v>
      </c>
      <c r="I133" s="8" t="s">
        <v>1486</v>
      </c>
      <c r="K133" s="5" t="str">
        <f t="shared" si="16"/>
        <v>INSERT INTO m_code VALUES ('guitar_woods',26,'Koa','','コア',0,0.0,'明るく華やかで軽快。');</v>
      </c>
    </row>
    <row r="134" spans="2:11">
      <c r="B134" s="8" t="s">
        <v>1778</v>
      </c>
      <c r="C134" s="8" t="s">
        <v>1403</v>
      </c>
      <c r="D134" s="8"/>
      <c r="E134" s="8">
        <v>27</v>
      </c>
      <c r="F134" s="8" t="s">
        <v>1460</v>
      </c>
      <c r="G134" s="9">
        <v>0</v>
      </c>
      <c r="H134" s="9" t="s">
        <v>125</v>
      </c>
      <c r="I134" s="8" t="s">
        <v>1487</v>
      </c>
      <c r="K134" s="5" t="str">
        <f t="shared" si="16"/>
        <v>INSERT INTO m_code VALUES ('guitar_woods',27,'Nato','','ナトー',0,0.0,'中低域が豊かで温かい。');</v>
      </c>
    </row>
    <row r="135" spans="2:11">
      <c r="B135" s="8" t="s">
        <v>1778</v>
      </c>
      <c r="C135" s="8" t="s">
        <v>1404</v>
      </c>
      <c r="D135" s="8"/>
      <c r="E135" s="8">
        <v>28</v>
      </c>
      <c r="F135" s="8" t="s">
        <v>1412</v>
      </c>
      <c r="G135" s="9">
        <v>0</v>
      </c>
      <c r="H135" s="9" t="s">
        <v>125</v>
      </c>
      <c r="I135" s="8" t="s">
        <v>1488</v>
      </c>
      <c r="K135" s="5" t="str">
        <f t="shared" si="16"/>
        <v>INSERT INTO m_code VALUES ('guitar_woods',28,'Agathis','','アガチス',0,0.0,'柔らかくウォームで素直。');</v>
      </c>
    </row>
    <row r="136" spans="2:11">
      <c r="B136" s="8" t="s">
        <v>1778</v>
      </c>
      <c r="C136" s="8" t="s">
        <v>1405</v>
      </c>
      <c r="D136" s="8"/>
      <c r="E136" s="8">
        <v>29</v>
      </c>
      <c r="F136" s="8" t="s">
        <v>1413</v>
      </c>
      <c r="G136" s="9">
        <v>0</v>
      </c>
      <c r="H136" s="9" t="s">
        <v>125</v>
      </c>
      <c r="I136" s="8" t="s">
        <v>1489</v>
      </c>
      <c r="K136" s="5" t="str">
        <f t="shared" si="16"/>
        <v>INSERT INTO m_code VALUES ('guitar_woods',29,'Bubinga','','ブビンガ',0,0.0,'重く硬質でサスティンが長い。');</v>
      </c>
    </row>
    <row r="137" spans="2:11">
      <c r="B137" s="8" t="s">
        <v>1778</v>
      </c>
      <c r="C137" s="8" t="s">
        <v>1406</v>
      </c>
      <c r="D137" s="8"/>
      <c r="E137" s="8">
        <v>30</v>
      </c>
      <c r="F137" s="8" t="s">
        <v>1414</v>
      </c>
      <c r="G137" s="9">
        <v>0</v>
      </c>
      <c r="H137" s="9" t="s">
        <v>125</v>
      </c>
      <c r="I137" s="8" t="s">
        <v>1490</v>
      </c>
      <c r="K137" s="5" t="str">
        <f t="shared" si="16"/>
        <v>INSERT INTO m_code VALUES ('guitar_woods',30,'Wenge','','ウェンジ',0,0.0,'非常に硬くタイトで個性的。');</v>
      </c>
    </row>
    <row r="138" spans="2:11">
      <c r="B138" s="8" t="s">
        <v>1778</v>
      </c>
      <c r="C138" s="8" t="s">
        <v>1407</v>
      </c>
      <c r="D138" s="8"/>
      <c r="E138" s="8">
        <v>31</v>
      </c>
      <c r="F138" s="8" t="s">
        <v>1415</v>
      </c>
      <c r="G138" s="9">
        <v>0</v>
      </c>
      <c r="H138" s="9" t="s">
        <v>125</v>
      </c>
      <c r="I138" s="8" t="s">
        <v>1491</v>
      </c>
      <c r="K138" s="5" t="str">
        <f t="shared" si="16"/>
        <v>INSERT INTO m_code VALUES ('guitar_woods',31,'Purpleheart','','パープルハート',0,0.0,'硬く鮮やかでアタックが強い。');</v>
      </c>
    </row>
    <row r="139" spans="2:11">
      <c r="B139" s="8" t="s">
        <v>1778</v>
      </c>
      <c r="C139" s="8" t="s">
        <v>1437</v>
      </c>
      <c r="D139" s="8"/>
      <c r="E139" s="8">
        <v>32</v>
      </c>
      <c r="F139" s="8" t="s">
        <v>1461</v>
      </c>
      <c r="G139" s="9">
        <v>0</v>
      </c>
      <c r="H139" s="9" t="s">
        <v>125</v>
      </c>
      <c r="I139" s="8" t="s">
        <v>1492</v>
      </c>
      <c r="K139" s="5" t="str">
        <f t="shared" si="16"/>
        <v>INSERT INTO m_code VALUES ('guitar_woods',32,'Zebrawood','','ゼブラウッド',0,0.0,'明るく硬質でクセのあるトーン。');</v>
      </c>
    </row>
    <row r="140" spans="2:11">
      <c r="B140" s="8" t="s">
        <v>1778</v>
      </c>
      <c r="C140" s="8" t="s">
        <v>1558</v>
      </c>
      <c r="D140" s="8"/>
      <c r="E140" s="8">
        <v>33</v>
      </c>
      <c r="F140" s="8" t="s">
        <v>1559</v>
      </c>
      <c r="G140" s="9">
        <v>0</v>
      </c>
      <c r="H140" s="9" t="s">
        <v>125</v>
      </c>
      <c r="I140" s="8" t="s">
        <v>1560</v>
      </c>
      <c r="K140" s="5" t="str">
        <f t="shared" si="16"/>
        <v>INSERT INTO m_code VALUES ('guitar_woods',33,'Okoume','','オクメ',0,0.0,'マホガニーに近く、中低域が豊かで軽量。');</v>
      </c>
    </row>
    <row r="141" spans="2:11">
      <c r="B141" s="8" t="s">
        <v>1778</v>
      </c>
      <c r="C141" s="8" t="s">
        <v>1562</v>
      </c>
      <c r="D141" s="8"/>
      <c r="E141" s="8">
        <v>34</v>
      </c>
      <c r="F141" s="8" t="s">
        <v>1561</v>
      </c>
      <c r="G141" s="9">
        <v>0</v>
      </c>
      <c r="H141" s="9" t="s">
        <v>125</v>
      </c>
      <c r="I141" s="8" t="s">
        <v>1563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('guitar_woods',34,'Meranti','','メランティ',0,0.0,'中域寄りで温かめ、マホガニー系に近い。');</v>
      </c>
    </row>
    <row r="142" spans="2:11">
      <c r="B142" s="8" t="s">
        <v>1778</v>
      </c>
      <c r="C142" s="8" t="s">
        <v>1564</v>
      </c>
      <c r="D142" s="8"/>
      <c r="E142" s="8">
        <v>35</v>
      </c>
      <c r="F142" s="8" t="s">
        <v>1565</v>
      </c>
      <c r="G142" s="9">
        <v>0</v>
      </c>
      <c r="H142" s="9" t="s">
        <v>125</v>
      </c>
      <c r="I142" s="8" t="s">
        <v>1569</v>
      </c>
      <c r="K142" s="5" t="str">
        <f t="shared" ref="K142" si="18"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('guitar_woods',35,'Sakura','','サクラ',0,0.0,'中高域が明るく立ち上がりが速い、日本らしい軽快で抜けの良いサウンド。');</v>
      </c>
    </row>
    <row r="143" spans="2:11">
      <c r="B143" s="8" t="s">
        <v>1778</v>
      </c>
      <c r="C143" s="8" t="s">
        <v>1566</v>
      </c>
      <c r="D143" s="8"/>
      <c r="E143" s="8">
        <v>36</v>
      </c>
      <c r="F143" s="8" t="s">
        <v>1567</v>
      </c>
      <c r="G143" s="9">
        <v>0</v>
      </c>
      <c r="H143" s="9" t="s">
        <v>125</v>
      </c>
      <c r="I143" s="8" t="s">
        <v>1568</v>
      </c>
      <c r="K143" s="5" t="str">
        <f t="shared" si="16"/>
        <v>INSERT INTO m_code VALUES ('guitar_woods',36,'Tochi','','トチ',0,0.0,'メイプルに近いクリアさと華やかさを持ちつつ、やや柔らかく豊かな倍音.');</v>
      </c>
    </row>
    <row r="144" spans="2:11">
      <c r="B144" s="8" t="s">
        <v>1778</v>
      </c>
      <c r="C144" s="8" t="s">
        <v>1424</v>
      </c>
      <c r="D144" s="8"/>
      <c r="E144" s="8">
        <v>99</v>
      </c>
      <c r="F144" s="8" t="s">
        <v>1423</v>
      </c>
      <c r="G144" s="9">
        <v>0</v>
      </c>
      <c r="H144" s="9" t="s">
        <v>125</v>
      </c>
      <c r="I144" s="8"/>
      <c r="K144" s="5" t="str">
        <f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('guitar_woods',99,'Unknown','','？？',0,0.0,'');</v>
      </c>
    </row>
    <row r="145" spans="2:11">
      <c r="B145" s="6" t="s">
        <v>1503</v>
      </c>
      <c r="C145" s="6" t="s">
        <v>1502</v>
      </c>
      <c r="D145" s="6" t="s">
        <v>1117</v>
      </c>
      <c r="E145" s="7" t="s">
        <v>123</v>
      </c>
      <c r="F145" s="6" t="s">
        <v>120</v>
      </c>
      <c r="G145" s="6" t="s">
        <v>121</v>
      </c>
      <c r="H145" s="6" t="s">
        <v>122</v>
      </c>
      <c r="I145" s="6" t="s">
        <v>133</v>
      </c>
    </row>
    <row r="146" spans="2:11">
      <c r="B146" s="8" t="s">
        <v>1779</v>
      </c>
      <c r="C146" s="8" t="s">
        <v>1504</v>
      </c>
      <c r="D146" s="8"/>
      <c r="E146" s="8">
        <v>1</v>
      </c>
      <c r="F146" s="8" t="s">
        <v>1520</v>
      </c>
      <c r="G146" s="9">
        <v>0</v>
      </c>
      <c r="H146" s="9" t="s">
        <v>125</v>
      </c>
      <c r="I146" s="8"/>
      <c r="K146" s="5" t="str">
        <f t="shared" ref="K146:K168" si="19">"INSERT INTO m_code VALUES ("&amp;"'"&amp;B146&amp;"'"&amp;","&amp;E146&amp;","&amp;"'"&amp;C146&amp;"'"&amp;","&amp;"'"&amp;D146&amp;"'"&amp;","&amp;"'"&amp;F146&amp;"'"&amp;","&amp;G146&amp;","&amp;H146&amp;","&amp;"'"&amp;I146&amp;"'"&amp;");"</f>
        <v>INSERT INTO m_code VALUES ('guitar_colors',1,'Red','','レッド',0,0.0,'');</v>
      </c>
    </row>
    <row r="147" spans="2:11">
      <c r="B147" s="8" t="s">
        <v>1779</v>
      </c>
      <c r="C147" s="8" t="s">
        <v>1518</v>
      </c>
      <c r="D147" s="8"/>
      <c r="E147" s="8">
        <v>2</v>
      </c>
      <c r="F147" s="8" t="s">
        <v>1521</v>
      </c>
      <c r="G147" s="9">
        <v>0</v>
      </c>
      <c r="H147" s="9" t="s">
        <v>125</v>
      </c>
      <c r="I147" s="8"/>
      <c r="K147" s="5" t="str">
        <f t="shared" si="19"/>
        <v>INSERT INTO m_code VALUES ('guitar_colors',2,'Pink','','ピンク',0,0.0,'');</v>
      </c>
    </row>
    <row r="148" spans="2:11">
      <c r="B148" s="8" t="s">
        <v>1779</v>
      </c>
      <c r="C148" s="8" t="s">
        <v>1505</v>
      </c>
      <c r="D148" s="8"/>
      <c r="E148" s="8">
        <v>3</v>
      </c>
      <c r="F148" s="8" t="s">
        <v>1522</v>
      </c>
      <c r="G148" s="9">
        <v>0</v>
      </c>
      <c r="H148" s="9" t="s">
        <v>125</v>
      </c>
      <c r="I148" s="8"/>
      <c r="K148" s="5" t="str">
        <f t="shared" si="19"/>
        <v>INSERT INTO m_code VALUES ('guitar_colors',3,'Orange','','オレンジ',0,0.0,'');</v>
      </c>
    </row>
    <row r="149" spans="2:11">
      <c r="B149" s="8" t="s">
        <v>1779</v>
      </c>
      <c r="C149" s="8" t="s">
        <v>1506</v>
      </c>
      <c r="D149" s="8"/>
      <c r="E149" s="8">
        <v>4</v>
      </c>
      <c r="F149" s="8" t="s">
        <v>1523</v>
      </c>
      <c r="G149" s="9">
        <v>0</v>
      </c>
      <c r="H149" s="9" t="s">
        <v>125</v>
      </c>
      <c r="I149" s="8"/>
      <c r="K149" s="5" t="str">
        <f t="shared" si="19"/>
        <v>INSERT INTO m_code VALUES ('guitar_colors',4,'Yellow','','イエロー',0,0.0,'');</v>
      </c>
    </row>
    <row r="150" spans="2:11">
      <c r="B150" s="8" t="s">
        <v>1779</v>
      </c>
      <c r="C150" s="8" t="s">
        <v>1507</v>
      </c>
      <c r="D150" s="8"/>
      <c r="E150" s="8">
        <v>5</v>
      </c>
      <c r="F150" s="8" t="s">
        <v>1524</v>
      </c>
      <c r="G150" s="9">
        <v>0</v>
      </c>
      <c r="H150" s="9" t="s">
        <v>125</v>
      </c>
      <c r="I150" s="8"/>
      <c r="K150" s="5" t="str">
        <f t="shared" si="19"/>
        <v>INSERT INTO m_code VALUES ('guitar_colors',5,'Green','','グリーン',0,0.0,'');</v>
      </c>
    </row>
    <row r="151" spans="2:11">
      <c r="B151" s="8" t="s">
        <v>1779</v>
      </c>
      <c r="C151" s="8" t="s">
        <v>1508</v>
      </c>
      <c r="D151" s="8"/>
      <c r="E151" s="8">
        <v>6</v>
      </c>
      <c r="F151" s="8" t="s">
        <v>1525</v>
      </c>
      <c r="G151" s="9">
        <v>0</v>
      </c>
      <c r="H151" s="9" t="s">
        <v>125</v>
      </c>
      <c r="I151" s="8"/>
      <c r="K151" s="5" t="str">
        <f t="shared" si="19"/>
        <v>INSERT INTO m_code VALUES ('guitar_colors',6,'SkyBlue','','スカイブルー',0,0.0,'');</v>
      </c>
    </row>
    <row r="152" spans="2:11">
      <c r="B152" s="8" t="s">
        <v>1779</v>
      </c>
      <c r="C152" s="8" t="s">
        <v>1509</v>
      </c>
      <c r="D152" s="8"/>
      <c r="E152" s="8">
        <v>7</v>
      </c>
      <c r="F152" s="8" t="s">
        <v>1526</v>
      </c>
      <c r="G152" s="9">
        <v>0</v>
      </c>
      <c r="H152" s="9" t="s">
        <v>125</v>
      </c>
      <c r="I152" s="8"/>
      <c r="K152" s="5" t="str">
        <f t="shared" si="19"/>
        <v>INSERT INTO m_code VALUES ('guitar_colors',7,'Blue','','ブルー',0,0.0,'');</v>
      </c>
    </row>
    <row r="153" spans="2:11">
      <c r="B153" s="8" t="s">
        <v>1779</v>
      </c>
      <c r="C153" s="8" t="s">
        <v>1510</v>
      </c>
      <c r="D153" s="8"/>
      <c r="E153" s="8">
        <v>8</v>
      </c>
      <c r="F153" s="8" t="s">
        <v>1527</v>
      </c>
      <c r="G153" s="9">
        <v>0</v>
      </c>
      <c r="H153" s="9" t="s">
        <v>125</v>
      </c>
      <c r="I153" s="8"/>
      <c r="K153" s="5" t="str">
        <f t="shared" si="19"/>
        <v>INSERT INTO m_code VALUES ('guitar_colors',8,'Purple','','パープル',0,0.0,'');</v>
      </c>
    </row>
    <row r="154" spans="2:11">
      <c r="B154" s="8" t="s">
        <v>1779</v>
      </c>
      <c r="C154" s="8" t="s">
        <v>1511</v>
      </c>
      <c r="D154" s="8"/>
      <c r="E154" s="8">
        <v>9</v>
      </c>
      <c r="F154" s="8" t="s">
        <v>1528</v>
      </c>
      <c r="G154" s="9">
        <v>0</v>
      </c>
      <c r="H154" s="9" t="s">
        <v>125</v>
      </c>
      <c r="I154" s="8"/>
      <c r="K154" s="5" t="str">
        <f t="shared" si="19"/>
        <v>INSERT INTO m_code VALUES ('guitar_colors',9,'Gray','','グレー',0,0.0,'');</v>
      </c>
    </row>
    <row r="155" spans="2:11">
      <c r="B155" s="8" t="s">
        <v>1779</v>
      </c>
      <c r="C155" s="8" t="s">
        <v>1512</v>
      </c>
      <c r="D155" s="8"/>
      <c r="E155" s="8">
        <v>10</v>
      </c>
      <c r="F155" s="8" t="s">
        <v>1529</v>
      </c>
      <c r="G155" s="9">
        <v>0</v>
      </c>
      <c r="H155" s="9" t="s">
        <v>125</v>
      </c>
      <c r="I155" s="8"/>
      <c r="K155" s="5" t="str">
        <f t="shared" si="19"/>
        <v>INSERT INTO m_code VALUES ('guitar_colors',10,'Black','','ブラック',0,0.0,'');</v>
      </c>
    </row>
    <row r="156" spans="2:11">
      <c r="B156" s="8" t="s">
        <v>1779</v>
      </c>
      <c r="C156" s="8" t="s">
        <v>1513</v>
      </c>
      <c r="D156" s="8"/>
      <c r="E156" s="8">
        <v>11</v>
      </c>
      <c r="F156" s="8" t="s">
        <v>1530</v>
      </c>
      <c r="G156" s="9">
        <v>0</v>
      </c>
      <c r="H156" s="9" t="s">
        <v>125</v>
      </c>
      <c r="I156" s="8"/>
      <c r="K156" s="5" t="str">
        <f t="shared" si="19"/>
        <v>INSERT INTO m_code VALUES ('guitar_colors',11,'White','','ホワイト',0,0.0,'');</v>
      </c>
    </row>
    <row r="157" spans="2:11">
      <c r="B157" s="8" t="s">
        <v>1779</v>
      </c>
      <c r="C157" s="8" t="s">
        <v>1514</v>
      </c>
      <c r="D157" s="8"/>
      <c r="E157" s="8">
        <v>12</v>
      </c>
      <c r="F157" s="8" t="s">
        <v>1531</v>
      </c>
      <c r="G157" s="9">
        <v>0</v>
      </c>
      <c r="H157" s="9" t="s">
        <v>125</v>
      </c>
      <c r="I157" s="8"/>
      <c r="K157" s="5" t="str">
        <f t="shared" si="19"/>
        <v>INSERT INTO m_code VALUES ('guitar_colors',12,'Natural','','ナチュラル',0,0.0,'');</v>
      </c>
    </row>
    <row r="158" spans="2:11">
      <c r="B158" s="8" t="s">
        <v>1779</v>
      </c>
      <c r="C158" s="8" t="s">
        <v>1519</v>
      </c>
      <c r="D158" s="8"/>
      <c r="E158" s="8">
        <v>13</v>
      </c>
      <c r="F158" s="8" t="s">
        <v>1532</v>
      </c>
      <c r="G158" s="9">
        <v>0</v>
      </c>
      <c r="H158" s="9" t="s">
        <v>125</v>
      </c>
      <c r="I158" s="8"/>
      <c r="K158" s="5" t="str">
        <f t="shared" si="19"/>
        <v>INSERT INTO m_code VALUES ('guitar_colors',13,'Brown','','ブラウン',0,0.0,'');</v>
      </c>
    </row>
    <row r="159" spans="2:11">
      <c r="B159" s="8" t="s">
        <v>1779</v>
      </c>
      <c r="C159" s="8" t="s">
        <v>1515</v>
      </c>
      <c r="D159" s="8"/>
      <c r="E159" s="8">
        <v>14</v>
      </c>
      <c r="F159" s="8" t="s">
        <v>1533</v>
      </c>
      <c r="G159" s="9">
        <v>0</v>
      </c>
      <c r="H159" s="9" t="s">
        <v>125</v>
      </c>
      <c r="I159" s="8"/>
      <c r="K159" s="5" t="str">
        <f t="shared" si="19"/>
        <v>INSERT INTO m_code VALUES ('guitar_colors',14,'Gold','','ゴールド',0,0.0,'');</v>
      </c>
    </row>
    <row r="160" spans="2:11">
      <c r="B160" s="8" t="s">
        <v>1779</v>
      </c>
      <c r="C160" s="8" t="s">
        <v>1516</v>
      </c>
      <c r="D160" s="8"/>
      <c r="E160" s="8">
        <v>15</v>
      </c>
      <c r="F160" s="8" t="s">
        <v>1534</v>
      </c>
      <c r="G160" s="9">
        <v>0</v>
      </c>
      <c r="H160" s="9" t="s">
        <v>125</v>
      </c>
      <c r="I160" s="8"/>
      <c r="K160" s="5" t="str">
        <f t="shared" si="19"/>
        <v>INSERT INTO m_code VALUES ('guitar_colors',15,'Silver','','シルバー',0,0.0,'');</v>
      </c>
    </row>
    <row r="161" spans="2:11">
      <c r="B161" s="8" t="s">
        <v>1779</v>
      </c>
      <c r="C161" s="8" t="s">
        <v>1517</v>
      </c>
      <c r="D161" s="8"/>
      <c r="E161" s="8">
        <v>99</v>
      </c>
      <c r="F161" s="8" t="s">
        <v>1535</v>
      </c>
      <c r="G161" s="9">
        <v>0</v>
      </c>
      <c r="H161" s="9" t="s">
        <v>125</v>
      </c>
      <c r="I161" s="8"/>
      <c r="K161" s="5" t="str">
        <f t="shared" si="19"/>
        <v>INSERT INTO m_code VALUES ('guitar_colors',99,'Others','','その他',0,0.0,'');</v>
      </c>
    </row>
    <row r="162" spans="2:11">
      <c r="B162" s="6" t="s">
        <v>1888</v>
      </c>
      <c r="C162" s="6" t="s">
        <v>1889</v>
      </c>
      <c r="D162" s="6" t="s">
        <v>1117</v>
      </c>
      <c r="E162" s="7" t="s">
        <v>123</v>
      </c>
      <c r="F162" s="6" t="s">
        <v>120</v>
      </c>
      <c r="G162" s="6" t="s">
        <v>121</v>
      </c>
      <c r="H162" s="6" t="s">
        <v>122</v>
      </c>
      <c r="I162" s="6" t="s">
        <v>133</v>
      </c>
    </row>
    <row r="163" spans="2:11">
      <c r="B163" s="8" t="s">
        <v>1892</v>
      </c>
      <c r="C163" s="8" t="s">
        <v>1890</v>
      </c>
      <c r="D163" s="8"/>
      <c r="E163" s="8">
        <v>1</v>
      </c>
      <c r="F163" s="8"/>
      <c r="G163" s="9">
        <v>0</v>
      </c>
      <c r="H163" s="9" t="s">
        <v>125</v>
      </c>
      <c r="I163" s="8" t="s">
        <v>1893</v>
      </c>
      <c r="K163" s="5" t="str">
        <f t="shared" si="19"/>
        <v>INSERT INTO m_code VALUES ('batch_status',1,'SUCCESS','','',0,0.0,'処理成功');</v>
      </c>
    </row>
    <row r="164" spans="2:11">
      <c r="B164" s="8" t="s">
        <v>1892</v>
      </c>
      <c r="C164" s="8" t="s">
        <v>1891</v>
      </c>
      <c r="D164" s="8"/>
      <c r="E164" s="8">
        <v>2</v>
      </c>
      <c r="F164" s="8"/>
      <c r="G164" s="9">
        <v>0</v>
      </c>
      <c r="H164" s="9" t="s">
        <v>125</v>
      </c>
      <c r="I164" s="8" t="s">
        <v>1894</v>
      </c>
      <c r="K164" s="5" t="str">
        <f t="shared" si="19"/>
        <v>INSERT INTO m_code VALUES ('batch_status',2,'STARTED','','',0,0.0,'処理開始。いずかのステータスに遷移する。');</v>
      </c>
    </row>
    <row r="165" spans="2:11">
      <c r="B165" s="8" t="s">
        <v>1892</v>
      </c>
      <c r="C165" s="8" t="s">
        <v>1881</v>
      </c>
      <c r="D165" s="8"/>
      <c r="E165" s="8">
        <v>3</v>
      </c>
      <c r="F165" s="8"/>
      <c r="G165" s="9">
        <v>0</v>
      </c>
      <c r="H165" s="9" t="s">
        <v>125</v>
      </c>
      <c r="I165" s="8" t="s">
        <v>1895</v>
      </c>
      <c r="K165" s="5" t="str">
        <f t="shared" si="19"/>
        <v>INSERT INTO m_code VALUES ('batch_status',3,'NOT_STARTED','','',0,0.0,'予定時刻に開始されていない。');</v>
      </c>
    </row>
    <row r="166" spans="2:11">
      <c r="B166" s="8" t="s">
        <v>1892</v>
      </c>
      <c r="C166" s="8" t="s">
        <v>1879</v>
      </c>
      <c r="D166" s="8"/>
      <c r="E166" s="8">
        <v>4</v>
      </c>
      <c r="F166" s="8"/>
      <c r="G166" s="9">
        <v>0</v>
      </c>
      <c r="H166" s="9" t="s">
        <v>125</v>
      </c>
      <c r="I166" s="8" t="s">
        <v>1896</v>
      </c>
      <c r="K166" s="5" t="str">
        <f t="shared" si="19"/>
        <v>INSERT INTO m_code VALUES ('batch_status',4,'ERROR','','',0,0.0,'例外、パニック等が発生した。');</v>
      </c>
    </row>
    <row r="167" spans="2:11">
      <c r="B167" s="8" t="s">
        <v>1892</v>
      </c>
      <c r="C167" s="8" t="s">
        <v>1882</v>
      </c>
      <c r="D167" s="8"/>
      <c r="E167" s="8">
        <v>5</v>
      </c>
      <c r="F167" s="8"/>
      <c r="G167" s="9">
        <v>0</v>
      </c>
      <c r="H167" s="9" t="s">
        <v>125</v>
      </c>
      <c r="I167" s="8" t="s">
        <v>1898</v>
      </c>
      <c r="K167" s="5" t="str">
        <f t="shared" si="19"/>
        <v>INSERT INTO m_code VALUES ('batch_status',5,'SLOW','','',0,0.0,'想定時間内に処理が終了しなかった。');</v>
      </c>
    </row>
    <row r="168" spans="2:11">
      <c r="B168" s="8" t="s">
        <v>1892</v>
      </c>
      <c r="C168" s="8" t="s">
        <v>1880</v>
      </c>
      <c r="D168" s="8"/>
      <c r="E168" s="8">
        <v>6</v>
      </c>
      <c r="F168" s="8"/>
      <c r="G168" s="9">
        <v>0</v>
      </c>
      <c r="H168" s="9" t="s">
        <v>125</v>
      </c>
      <c r="I168" s="8" t="s">
        <v>1897</v>
      </c>
      <c r="K168" s="5" t="str">
        <f t="shared" si="19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("&amp;"'"&amp;B6&amp;"'"&amp;","&amp;"'"&amp;C6&amp;"'"&amp;","&amp;VLOOKUP(D6,コード!$C$48:$I$108,3,FALSE)&amp;","&amp;E6&amp;","&amp;F6&amp;","&amp;G6&amp;","&amp;H6&amp;","&amp;VLOOKUP(I6,コード!$C$5:$I$11,3,FALSE)&amp;");"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("&amp;"'"&amp;B7&amp;"'"&amp;","&amp;"'"&amp;C7&amp;"'"&amp;","&amp;VLOOKUP(D7,コード!$C$48:$I$108,3,FALSE)&amp;","&amp;E7&amp;","&amp;F7&amp;","&amp;G7&amp;","&amp;H7&amp;","&amp;VLOOKUP(I7,コード!$C$5:$I$11,3,FALSE)&amp;");"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("&amp;"'"&amp;B8&amp;"'"&amp;","&amp;"'"&amp;C8&amp;"'"&amp;","&amp;VLOOKUP(D8,コード!$C$48:$I$108,3,FALSE)&amp;","&amp;E8&amp;","&amp;F8&amp;","&amp;G8&amp;","&amp;H8&amp;","&amp;VLOOKUP(I8,コード!$C$5:$I$11,3,FALSE)&amp;");"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("&amp;"'"&amp;B9&amp;"'"&amp;","&amp;"'"&amp;C9&amp;"'"&amp;","&amp;VLOOKUP(D9,コード!$C$48:$I$108,3,FALSE)&amp;","&amp;E9&amp;","&amp;F9&amp;","&amp;G9&amp;","&amp;H9&amp;","&amp;VLOOKUP(I9,コード!$C$5:$I$11,3,FALSE)&amp;");"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("&amp;"'"&amp;B10&amp;"'"&amp;","&amp;"'"&amp;C10&amp;"'"&amp;","&amp;VLOOKUP(D10,コード!$C$48:$I$108,3,FALSE)&amp;","&amp;E10&amp;","&amp;F10&amp;","&amp;G10&amp;","&amp;H10&amp;","&amp;VLOOKUP(I10,コード!$C$5:$I$11,3,FALSE)&amp;");"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("&amp;"'"&amp;B11&amp;"'"&amp;","&amp;"'"&amp;C11&amp;"'"&amp;","&amp;VLOOKUP(D11,コード!$C$48:$I$108,3,FALSE)&amp;","&amp;E11&amp;","&amp;F11&amp;","&amp;G11&amp;","&amp;H11&amp;","&amp;VLOOKUP(I11,コード!$C$5:$I$11,3,FALSE)&amp;");"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("&amp;"'"&amp;B12&amp;"'"&amp;","&amp;"'"&amp;C12&amp;"'"&amp;","&amp;VLOOKUP(D12,コード!$C$48:$I$108,3,FALSE)&amp;","&amp;E12&amp;","&amp;F12&amp;","&amp;G12&amp;","&amp;H12&amp;","&amp;VLOOKUP(I12,コード!$C$5:$I$11,3,FALSE)&amp;");"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("&amp;"'"&amp;B13&amp;"'"&amp;","&amp;"'"&amp;C13&amp;"'"&amp;","&amp;VLOOKUP(D13,コード!$C$48:$I$108,3,FALSE)&amp;","&amp;E13&amp;","&amp;F13&amp;","&amp;G13&amp;","&amp;H13&amp;","&amp;VLOOKUP(I13,コード!$C$5:$I$11,3,FALSE)&amp;");"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("&amp;"'"&amp;B14&amp;"'"&amp;","&amp;"'"&amp;C14&amp;"'"&amp;","&amp;VLOOKUP(D14,コード!$C$48:$I$108,3,FALSE)&amp;","&amp;E14&amp;","&amp;F14&amp;","&amp;G14&amp;","&amp;H14&amp;","&amp;VLOOKUP(I14,コード!$C$5:$I$11,3,FALSE)&amp;");"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("&amp;"'"&amp;B15&amp;"'"&amp;","&amp;"'"&amp;C15&amp;"'"&amp;","&amp;VLOOKUP(D15,コード!$C$48:$I$108,3,FALSE)&amp;","&amp;E15&amp;","&amp;F15&amp;","&amp;G15&amp;","&amp;H15&amp;","&amp;VLOOKUP(I15,コード!$C$5:$I$11,3,FALSE)&amp;");"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("&amp;"'"&amp;B16&amp;"'"&amp;","&amp;"'"&amp;C16&amp;"'"&amp;","&amp;VLOOKUP(D16,コード!$C$48:$I$108,3,FALSE)&amp;","&amp;E16&amp;","&amp;F16&amp;","&amp;G16&amp;","&amp;H16&amp;","&amp;VLOOKUP(I16,コード!$C$5:$I$11,3,FALSE)&amp;");"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("&amp;"'"&amp;B17&amp;"'"&amp;","&amp;"'"&amp;C17&amp;"'"&amp;","&amp;VLOOKUP(D17,コード!$C$48:$I$108,3,FALSE)&amp;","&amp;E17&amp;","&amp;F17&amp;","&amp;G17&amp;","&amp;H17&amp;","&amp;VLOOKUP(I17,コード!$C$5:$I$11,3,FALSE)&amp;");"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("&amp;"'"&amp;B18&amp;"'"&amp;","&amp;"'"&amp;C18&amp;"'"&amp;","&amp;VLOOKUP(D18,コード!$C$48:$I$108,3,FALSE)&amp;","&amp;E18&amp;","&amp;F18&amp;","&amp;G18&amp;","&amp;H18&amp;","&amp;VLOOKUP(I18,コード!$C$5:$I$11,3,FALSE)&amp;");"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("&amp;"'"&amp;B19&amp;"'"&amp;","&amp;"'"&amp;C19&amp;"'"&amp;","&amp;VLOOKUP(D19,コード!$C$48:$I$108,3,FALSE)&amp;","&amp;E19&amp;","&amp;F19&amp;","&amp;G19&amp;","&amp;H19&amp;","&amp;VLOOKUP(I19,コード!$C$5:$I$11,3,FALSE)&amp;");"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("&amp;"'"&amp;B20&amp;"'"&amp;","&amp;"'"&amp;C20&amp;"'"&amp;","&amp;VLOOKUP(D20,コード!$C$48:$I$108,3,FALSE)&amp;","&amp;E20&amp;","&amp;F20&amp;","&amp;G20&amp;","&amp;H20&amp;","&amp;VLOOKUP(I20,コード!$C$5:$I$11,3,FALSE)&amp;");"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("&amp;"'"&amp;B21&amp;"'"&amp;","&amp;"'"&amp;C21&amp;"'"&amp;","&amp;VLOOKUP(D21,コード!$C$48:$I$108,3,FALSE)&amp;","&amp;E21&amp;","&amp;F21&amp;","&amp;G21&amp;","&amp;H21&amp;","&amp;VLOOKUP(I21,コード!$C$5:$I$11,3,FALSE)&amp;");"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("&amp;"'"&amp;B22&amp;"'"&amp;","&amp;"'"&amp;C22&amp;"'"&amp;","&amp;VLOOKUP(D22,コード!$C$48:$I$108,3,FALSE)&amp;","&amp;E22&amp;","&amp;F22&amp;","&amp;G22&amp;","&amp;H22&amp;","&amp;VLOOKUP(I22,コード!$C$5:$I$11,3,FALSE)&amp;");"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("&amp;"'"&amp;B23&amp;"'"&amp;","&amp;"'"&amp;C23&amp;"'"&amp;","&amp;VLOOKUP(D23,コード!$C$48:$I$108,3,FALSE)&amp;","&amp;E23&amp;","&amp;F23&amp;","&amp;G23&amp;","&amp;H23&amp;","&amp;VLOOKUP(I23,コード!$C$5:$I$11,3,FALSE)&amp;");"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("&amp;"'"&amp;B24&amp;"'"&amp;","&amp;"'"&amp;C24&amp;"'"&amp;","&amp;VLOOKUP(D24,コード!$C$48:$I$108,3,FALSE)&amp;","&amp;E24&amp;","&amp;F24&amp;","&amp;G24&amp;","&amp;H24&amp;","&amp;VLOOKUP(I24,コード!$C$5:$I$11,3,FALSE)&amp;");"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("&amp;"'"&amp;B25&amp;"'"&amp;","&amp;"'"&amp;C25&amp;"'"&amp;","&amp;VLOOKUP(D25,コード!$C$48:$I$108,3,FALSE)&amp;","&amp;E25&amp;","&amp;F25&amp;","&amp;G25&amp;","&amp;H25&amp;","&amp;VLOOKUP(I25,コード!$C$5:$I$11,3,FALSE)&amp;");"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("&amp;"'"&amp;B26&amp;"'"&amp;","&amp;"'"&amp;C26&amp;"'"&amp;","&amp;VLOOKUP(D26,コード!$C$48:$I$108,3,FALSE)&amp;","&amp;E26&amp;","&amp;F26&amp;","&amp;G26&amp;","&amp;H26&amp;","&amp;VLOOKUP(I26,コード!$C$5:$I$11,3,FALSE)&amp;");"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("&amp;"'"&amp;B27&amp;"'"&amp;","&amp;"'"&amp;C27&amp;"'"&amp;","&amp;VLOOKUP(D27,コード!$C$48:$I$108,3,FALSE)&amp;","&amp;E27&amp;","&amp;F27&amp;","&amp;G27&amp;","&amp;H27&amp;","&amp;VLOOKUP(I27,コード!$C$5:$I$11,3,FALSE)&amp;");"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("&amp;"'"&amp;B28&amp;"'"&amp;","&amp;"'"&amp;C28&amp;"'"&amp;","&amp;VLOOKUP(D28,コード!$C$48:$I$108,3,FALSE)&amp;","&amp;E28&amp;","&amp;F28&amp;","&amp;G28&amp;","&amp;H28&amp;","&amp;VLOOKUP(I28,コード!$C$5:$I$11,3,FALSE)&amp;");"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("&amp;"'"&amp;B29&amp;"'"&amp;","&amp;"'"&amp;C29&amp;"'"&amp;","&amp;VLOOKUP(D29,コード!$C$48:$I$108,3,FALSE)&amp;","&amp;E29&amp;","&amp;F29&amp;","&amp;G29&amp;","&amp;H29&amp;","&amp;VLOOKUP(I29,コード!$C$5:$I$11,3,FALSE)&amp;");"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("&amp;"'"&amp;B30&amp;"'"&amp;","&amp;"'"&amp;C30&amp;"'"&amp;","&amp;VLOOKUP(D30,コード!$C$48:$I$108,3,FALSE)&amp;","&amp;E30&amp;","&amp;F30&amp;","&amp;G30&amp;","&amp;H30&amp;","&amp;VLOOKUP(I30,コード!$C$5:$I$11,3,FALSE)&amp;");"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("&amp;"'"&amp;B31&amp;"'"&amp;","&amp;"'"&amp;C31&amp;"'"&amp;","&amp;VLOOKUP(D31,コード!$C$48:$I$108,3,FALSE)&amp;","&amp;E31&amp;","&amp;F31&amp;","&amp;G31&amp;","&amp;H31&amp;","&amp;VLOOKUP(I31,コード!$C$5:$I$11,3,FALSE)&amp;");"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("&amp;"'"&amp;B32&amp;"'"&amp;","&amp;"'"&amp;C32&amp;"'"&amp;","&amp;VLOOKUP(D32,コード!$C$48:$I$108,3,FALSE)&amp;","&amp;E32&amp;","&amp;F32&amp;","&amp;G32&amp;","&amp;H32&amp;","&amp;VLOOKUP(I32,コード!$C$5:$I$11,3,FALSE)&amp;");"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("&amp;"'"&amp;B33&amp;"'"&amp;","&amp;"'"&amp;C33&amp;"'"&amp;","&amp;VLOOKUP(D33,コード!$C$48:$I$108,3,FALSE)&amp;","&amp;E33&amp;","&amp;F33&amp;","&amp;G33&amp;","&amp;H33&amp;","&amp;VLOOKUP(I33,コード!$C$5:$I$11,3,FALSE)&amp;");"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("&amp;"'"&amp;B34&amp;"'"&amp;","&amp;"'"&amp;C34&amp;"'"&amp;","&amp;VLOOKUP(D34,コード!$C$48:$I$108,3,FALSE)&amp;","&amp;E34&amp;","&amp;F34&amp;","&amp;G34&amp;","&amp;H34&amp;","&amp;VLOOKUP(I34,コード!$C$5:$I$11,3,FALSE)&amp;");"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("&amp;"'"&amp;B35&amp;"'"&amp;","&amp;"'"&amp;C35&amp;"'"&amp;","&amp;VLOOKUP(D35,コード!$C$48:$I$108,3,FALSE)&amp;","&amp;E35&amp;","&amp;F35&amp;","&amp;G35&amp;","&amp;H35&amp;","&amp;VLOOKUP(I35,コード!$C$5:$I$11,3,FALSE)&amp;");"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("&amp;"'"&amp;B36&amp;"'"&amp;","&amp;"'"&amp;C36&amp;"'"&amp;","&amp;VLOOKUP(D36,コード!$C$48:$I$108,3,FALSE)&amp;","&amp;E36&amp;","&amp;F36&amp;","&amp;G36&amp;","&amp;H36&amp;","&amp;VLOOKUP(I36,コード!$C$5:$I$11,3,FALSE)&amp;");"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("&amp;"'"&amp;B37&amp;"'"&amp;","&amp;"'"&amp;C37&amp;"'"&amp;","&amp;VLOOKUP(D37,コード!$C$48:$I$108,3,FALSE)&amp;","&amp;E37&amp;","&amp;F37&amp;","&amp;G37&amp;","&amp;H37&amp;","&amp;VLOOKUP(I37,コード!$C$5:$I$11,3,FALSE)&amp;");"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("&amp;"'"&amp;B38&amp;"'"&amp;","&amp;"'"&amp;C38&amp;"'"&amp;","&amp;VLOOKUP(D38,コード!$C$48:$I$108,3,FALSE)&amp;","&amp;E38&amp;","&amp;F38&amp;","&amp;G38&amp;","&amp;H38&amp;","&amp;VLOOKUP(I38,コード!$C$5:$I$11,3,FALSE)&amp;");"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("&amp;"'"&amp;B39&amp;"'"&amp;","&amp;"'"&amp;C39&amp;"'"&amp;","&amp;VLOOKUP(D39,コード!$C$48:$I$108,3,FALSE)&amp;","&amp;E39&amp;","&amp;F39&amp;","&amp;G39&amp;","&amp;H39&amp;","&amp;VLOOKUP(I39,コード!$C$5:$I$11,3,FALSE)&amp;");"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("&amp;"'"&amp;B40&amp;"'"&amp;","&amp;"'"&amp;C40&amp;"'"&amp;","&amp;VLOOKUP(D40,コード!$C$48:$I$108,3,FALSE)&amp;","&amp;E40&amp;","&amp;F40&amp;","&amp;G40&amp;","&amp;H40&amp;","&amp;VLOOKUP(I40,コード!$C$5:$I$11,3,FALSE)&amp;");"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("&amp;"'"&amp;B41&amp;"'"&amp;","&amp;"'"&amp;C41&amp;"'"&amp;","&amp;VLOOKUP(D41,コード!$C$48:$I$108,3,FALSE)&amp;","&amp;E41&amp;","&amp;F41&amp;","&amp;G41&amp;","&amp;H41&amp;","&amp;VLOOKUP(I41,コード!$C$5:$I$11,3,FALSE)&amp;");"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("&amp;"'"&amp;B42&amp;"'"&amp;","&amp;"'"&amp;C42&amp;"'"&amp;","&amp;VLOOKUP(D42,コード!$C$48:$I$108,3,FALSE)&amp;","&amp;E42&amp;","&amp;F42&amp;","&amp;G42&amp;","&amp;H42&amp;","&amp;VLOOKUP(I42,コード!$C$5:$I$11,3,FALSE)&amp;");"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("&amp;"'"&amp;B43&amp;"'"&amp;","&amp;"'"&amp;C43&amp;"'"&amp;","&amp;VLOOKUP(D43,コード!$C$48:$I$108,3,FALSE)&amp;","&amp;E43&amp;","&amp;F43&amp;","&amp;G43&amp;","&amp;H43&amp;","&amp;VLOOKUP(I43,コード!$C$5:$I$11,3,FALSE)&amp;");"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("&amp;"'"&amp;B44&amp;"'"&amp;","&amp;"'"&amp;C44&amp;"'"&amp;","&amp;VLOOKUP(D44,コード!$C$48:$I$108,3,FALSE)&amp;","&amp;E44&amp;","&amp;F44&amp;","&amp;G44&amp;","&amp;H44&amp;","&amp;VLOOKUP(I44,コード!$C$5:$I$11,3,FALSE)&amp;");"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("&amp;"'"&amp;B45&amp;"'"&amp;","&amp;"'"&amp;C45&amp;"'"&amp;","&amp;VLOOKUP(D45,コード!$C$48:$I$108,3,FALSE)&amp;","&amp;E45&amp;","&amp;F45&amp;","&amp;G45&amp;","&amp;H45&amp;","&amp;VLOOKUP(I45,コード!$C$5:$I$11,3,FALSE)&amp;");"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("&amp;"'"&amp;B46&amp;"'"&amp;","&amp;"'"&amp;C46&amp;"'"&amp;","&amp;VLOOKUP(D46,コード!$C$48:$I$108,3,FALSE)&amp;","&amp;E46&amp;","&amp;F46&amp;","&amp;G46&amp;","&amp;H46&amp;","&amp;VLOOKUP(I46,コード!$C$5:$I$11,3,FALSE)&amp;");"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("&amp;"'"&amp;B47&amp;"'"&amp;","&amp;"'"&amp;C47&amp;"'"&amp;","&amp;VLOOKUP(D47,コード!$C$48:$I$108,3,FALSE)&amp;","&amp;E47&amp;","&amp;F47&amp;","&amp;G47&amp;","&amp;H47&amp;","&amp;VLOOKUP(I47,コード!$C$5:$I$11,3,FALSE)&amp;");"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("&amp;"'"&amp;B48&amp;"'"&amp;","&amp;"'"&amp;C48&amp;"'"&amp;","&amp;VLOOKUP(D48,コード!$C$48:$I$108,3,FALSE)&amp;","&amp;E48&amp;","&amp;F48&amp;","&amp;G48&amp;","&amp;H48&amp;","&amp;VLOOKUP(I48,コード!$C$5:$I$11,3,FALSE)&amp;");"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("&amp;"'"&amp;B49&amp;"'"&amp;","&amp;"'"&amp;C49&amp;"'"&amp;","&amp;VLOOKUP(D49,コード!$C$48:$I$108,3,FALSE)&amp;","&amp;E49&amp;","&amp;F49&amp;","&amp;G49&amp;","&amp;H49&amp;","&amp;VLOOKUP(I49,コード!$C$5:$I$11,3,FALSE)&amp;");"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("&amp;"'"&amp;B50&amp;"'"&amp;","&amp;"'"&amp;C50&amp;"'"&amp;","&amp;VLOOKUP(D50,コード!$C$48:$I$108,3,FALSE)&amp;","&amp;E50&amp;","&amp;F50&amp;","&amp;G50&amp;","&amp;H50&amp;","&amp;VLOOKUP(I50,コード!$C$5:$I$11,3,FALSE)&amp;");"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("&amp;"'"&amp;B51&amp;"'"&amp;","&amp;"'"&amp;C51&amp;"'"&amp;","&amp;VLOOKUP(D51,コード!$C$48:$I$108,3,FALSE)&amp;","&amp;E51&amp;","&amp;F51&amp;","&amp;G51&amp;","&amp;H51&amp;","&amp;VLOOKUP(I51,コード!$C$5:$I$11,3,FALSE)&amp;");"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("&amp;"'"&amp;B52&amp;"'"&amp;","&amp;"'"&amp;C52&amp;"'"&amp;","&amp;VLOOKUP(D52,コード!$C$48:$I$108,3,FALSE)&amp;","&amp;E52&amp;","&amp;F52&amp;","&amp;G52&amp;","&amp;H52&amp;","&amp;VLOOKUP(I52,コード!$C$5:$I$11,3,FALSE)&amp;");"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("&amp;"'"&amp;B53&amp;"'"&amp;","&amp;"'"&amp;C53&amp;"'"&amp;","&amp;VLOOKUP(D53,コード!$C$48:$I$108,3,FALSE)&amp;","&amp;E53&amp;","&amp;F53&amp;","&amp;G53&amp;","&amp;H53&amp;","&amp;VLOOKUP(I53,コード!$C$5:$I$11,3,FALSE)&amp;");"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("&amp;"'"&amp;B54&amp;"'"&amp;","&amp;"'"&amp;C54&amp;"'"&amp;","&amp;VLOOKUP(D54,コード!$C$48:$I$108,3,FALSE)&amp;","&amp;E54&amp;","&amp;F54&amp;","&amp;G54&amp;","&amp;H54&amp;","&amp;VLOOKUP(I54,コード!$C$5:$I$11,3,FALSE)&amp;");"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("&amp;"'"&amp;B55&amp;"'"&amp;","&amp;"'"&amp;C55&amp;"'"&amp;","&amp;VLOOKUP(D55,コード!$C$48:$I$108,3,FALSE)&amp;","&amp;E55&amp;","&amp;F55&amp;","&amp;G55&amp;","&amp;H55&amp;","&amp;VLOOKUP(I55,コード!$C$5:$I$11,3,FALSE)&amp;");"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("&amp;"'"&amp;B56&amp;"'"&amp;","&amp;"'"&amp;C56&amp;"'"&amp;","&amp;VLOOKUP(D56,コード!$C$48:$I$108,3,FALSE)&amp;","&amp;E56&amp;","&amp;F56&amp;","&amp;G56&amp;","&amp;H56&amp;","&amp;VLOOKUP(I56,コード!$C$5:$I$11,3,FALSE)&amp;");"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("&amp;"'"&amp;B57&amp;"'"&amp;","&amp;"'"&amp;C57&amp;"'"&amp;","&amp;VLOOKUP(D57,コード!$C$48:$I$108,3,FALSE)&amp;","&amp;E57&amp;","&amp;F57&amp;","&amp;G57&amp;","&amp;H57&amp;","&amp;VLOOKUP(I57,コード!$C$5:$I$11,3,FALSE)&amp;");"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("&amp;"'"&amp;B58&amp;"'"&amp;","&amp;"'"&amp;C58&amp;"'"&amp;","&amp;VLOOKUP(D58,コード!$C$48:$I$108,3,FALSE)&amp;","&amp;E58&amp;","&amp;F58&amp;","&amp;G58&amp;","&amp;H58&amp;","&amp;VLOOKUP(I58,コード!$C$5:$I$11,3,FALSE)&amp;");"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("&amp;"'"&amp;B59&amp;"'"&amp;","&amp;"'"&amp;C59&amp;"'"&amp;","&amp;VLOOKUP(D59,コード!$C$48:$I$108,3,FALSE)&amp;","&amp;E59&amp;","&amp;F59&amp;","&amp;G59&amp;","&amp;H59&amp;","&amp;VLOOKUP(I59,コード!$C$5:$I$11,3,FALSE)&amp;");"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("&amp;"'"&amp;B60&amp;"'"&amp;","&amp;"'"&amp;C60&amp;"'"&amp;","&amp;VLOOKUP(D60,コード!$C$48:$I$108,3,FALSE)&amp;","&amp;E60&amp;","&amp;F60&amp;","&amp;G60&amp;","&amp;H60&amp;","&amp;VLOOKUP(I60,コード!$C$5:$I$11,3,FALSE)&amp;");"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("&amp;"'"&amp;B61&amp;"'"&amp;","&amp;"'"&amp;C61&amp;"'"&amp;","&amp;VLOOKUP(D61,コード!$C$48:$I$108,3,FALSE)&amp;","&amp;E61&amp;","&amp;F61&amp;","&amp;G61&amp;","&amp;H61&amp;","&amp;VLOOKUP(I61,コード!$C$5:$I$11,3,FALSE)&amp;");"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("&amp;"'"&amp;B62&amp;"'"&amp;","&amp;"'"&amp;C62&amp;"'"&amp;","&amp;VLOOKUP(D62,コード!$C$48:$I$108,3,FALSE)&amp;","&amp;E62&amp;","&amp;F62&amp;","&amp;G62&amp;","&amp;H62&amp;","&amp;VLOOKUP(I62,コード!$C$5:$I$11,3,FALSE)&amp;");"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("&amp;"'"&amp;B63&amp;"'"&amp;","&amp;"'"&amp;C63&amp;"'"&amp;","&amp;VLOOKUP(D63,コード!$C$48:$I$108,3,FALSE)&amp;","&amp;E63&amp;","&amp;F63&amp;","&amp;G63&amp;","&amp;H63&amp;","&amp;VLOOKUP(I63,コード!$C$5:$I$11,3,FALSE)&amp;");"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("&amp;"'"&amp;B64&amp;"'"&amp;","&amp;"'"&amp;C64&amp;"'"&amp;","&amp;VLOOKUP(D64,コード!$C$48:$I$108,3,FALSE)&amp;","&amp;E64&amp;","&amp;F64&amp;","&amp;G64&amp;","&amp;H64&amp;","&amp;VLOOKUP(I64,コード!$C$5:$I$11,3,FALSE)&amp;");"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("&amp;"'"&amp;B65&amp;"'"&amp;","&amp;"'"&amp;C65&amp;"'"&amp;","&amp;VLOOKUP(D65,コード!$C$48:$I$108,3,FALSE)&amp;","&amp;E65&amp;","&amp;F65&amp;","&amp;G65&amp;","&amp;H65&amp;","&amp;VLOOKUP(I65,コード!$C$5:$I$11,3,FALSE)&amp;");"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("&amp;"'"&amp;B66&amp;"'"&amp;","&amp;"'"&amp;C66&amp;"'"&amp;","&amp;VLOOKUP(D66,コード!$C$48:$I$108,3,FALSE)&amp;","&amp;E66&amp;","&amp;F66&amp;","&amp;G66&amp;","&amp;H66&amp;","&amp;VLOOKUP(I66,コード!$C$5:$I$11,3,FALSE)&amp;");"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("&amp;"'"&amp;B67&amp;"'"&amp;","&amp;"'"&amp;C67&amp;"'"&amp;","&amp;VLOOKUP(D67,コード!$C$48:$I$108,3,FALSE)&amp;","&amp;E67&amp;","&amp;F67&amp;","&amp;G67&amp;","&amp;H67&amp;","&amp;VLOOKUP(I67,コード!$C$5:$I$11,3,FALSE)&amp;");"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("&amp;"'"&amp;B68&amp;"'"&amp;","&amp;"'"&amp;C68&amp;"'"&amp;","&amp;VLOOKUP(D68,コード!$C$48:$I$108,3,FALSE)&amp;","&amp;E68&amp;","&amp;F68&amp;","&amp;G68&amp;","&amp;H68&amp;","&amp;VLOOKUP(I68,コード!$C$5:$I$11,3,FALSE)&amp;");"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("&amp;"'"&amp;B69&amp;"'"&amp;","&amp;"'"&amp;C69&amp;"'"&amp;","&amp;VLOOKUP(D69,コード!$C$48:$I$108,3,FALSE)&amp;","&amp;E69&amp;","&amp;F69&amp;","&amp;G69&amp;","&amp;H69&amp;","&amp;VLOOKUP(I69,コード!$C$5:$I$11,3,FALSE)&amp;");"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("&amp;"'"&amp;B70&amp;"'"&amp;","&amp;"'"&amp;C70&amp;"'"&amp;","&amp;VLOOKUP(D70,コード!$C$48:$I$108,3,FALSE)&amp;","&amp;E70&amp;","&amp;F70&amp;","&amp;G70&amp;","&amp;H70&amp;","&amp;VLOOKUP(I70,コード!$C$5:$I$11,3,FALSE)&amp;");"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("&amp;"'"&amp;B71&amp;"'"&amp;","&amp;"'"&amp;C71&amp;"'"&amp;","&amp;VLOOKUP(D71,コード!$C$48:$I$108,3,FALSE)&amp;","&amp;E71&amp;","&amp;F71&amp;","&amp;G71&amp;","&amp;H71&amp;","&amp;VLOOKUP(I71,コード!$C$5:$I$11,3,FALSE)&amp;");"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("&amp;"'"&amp;B72&amp;"'"&amp;","&amp;"'"&amp;C72&amp;"'"&amp;","&amp;VLOOKUP(D72,コード!$C$48:$I$108,3,FALSE)&amp;","&amp;E72&amp;","&amp;F72&amp;","&amp;G72&amp;","&amp;H72&amp;","&amp;VLOOKUP(I72,コード!$C$5:$I$11,3,FALSE)&amp;");"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("&amp;"'"&amp;B73&amp;"'"&amp;","&amp;"'"&amp;C73&amp;"'"&amp;","&amp;VLOOKUP(D73,コード!$C$48:$I$108,3,FALSE)&amp;","&amp;E73&amp;","&amp;F73&amp;","&amp;G73&amp;","&amp;H73&amp;","&amp;VLOOKUP(I73,コード!$C$5:$I$11,3,FALSE)&amp;");"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("&amp;"'"&amp;B74&amp;"'"&amp;","&amp;"'"&amp;C74&amp;"'"&amp;","&amp;VLOOKUP(D74,コード!$C$48:$I$108,3,FALSE)&amp;","&amp;E74&amp;","&amp;F74&amp;","&amp;G74&amp;","&amp;H74&amp;","&amp;VLOOKUP(I74,コード!$C$5:$I$11,3,FALSE)&amp;");"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("&amp;"'"&amp;B75&amp;"'"&amp;","&amp;"'"&amp;C75&amp;"'"&amp;","&amp;VLOOKUP(D75,コード!$C$48:$I$108,3,FALSE)&amp;","&amp;E75&amp;","&amp;F75&amp;","&amp;G75&amp;","&amp;H75&amp;","&amp;VLOOKUP(I75,コード!$C$5:$I$11,3,FALSE)&amp;");"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("&amp;"'"&amp;B76&amp;"'"&amp;","&amp;"'"&amp;C76&amp;"'"&amp;","&amp;VLOOKUP(D76,コード!$C$48:$I$108,3,FALSE)&amp;","&amp;E76&amp;","&amp;F76&amp;","&amp;G76&amp;","&amp;H76&amp;","&amp;VLOOKUP(I76,コード!$C$5:$I$11,3,FALSE)&amp;");"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("&amp;"'"&amp;B77&amp;"'"&amp;","&amp;"'"&amp;C77&amp;"'"&amp;","&amp;VLOOKUP(D77,コード!$C$48:$I$108,3,FALSE)&amp;","&amp;E77&amp;","&amp;F77&amp;","&amp;G77&amp;","&amp;H77&amp;","&amp;VLOOKUP(I77,コード!$C$5:$I$11,3,FALSE)&amp;");"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("&amp;"'"&amp;B78&amp;"'"&amp;","&amp;"'"&amp;C78&amp;"'"&amp;","&amp;VLOOKUP(D78,コード!$C$48:$I$108,3,FALSE)&amp;","&amp;E78&amp;","&amp;F78&amp;","&amp;G78&amp;","&amp;H78&amp;","&amp;VLOOKUP(I78,コード!$C$5:$I$11,3,FALSE)&amp;");"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("&amp;"'"&amp;B79&amp;"'"&amp;","&amp;"'"&amp;C79&amp;"'"&amp;","&amp;VLOOKUP(D79,コード!$C$48:$I$108,3,FALSE)&amp;","&amp;E79&amp;","&amp;F79&amp;","&amp;G79&amp;","&amp;H79&amp;","&amp;VLOOKUP(I79,コード!$C$5:$I$11,3,FALSE)&amp;");"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("&amp;"'"&amp;B80&amp;"'"&amp;","&amp;"'"&amp;C80&amp;"'"&amp;","&amp;VLOOKUP(D80,コード!$C$48:$I$108,3,FALSE)&amp;","&amp;E80&amp;","&amp;F80&amp;","&amp;G80&amp;","&amp;H80&amp;","&amp;VLOOKUP(I80,コード!$C$5:$I$11,3,FALSE)&amp;");"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("&amp;"'"&amp;B81&amp;"'"&amp;","&amp;"'"&amp;C81&amp;"'"&amp;","&amp;VLOOKUP(D81,コード!$C$48:$I$108,3,FALSE)&amp;","&amp;E81&amp;","&amp;F81&amp;","&amp;G81&amp;","&amp;H81&amp;","&amp;VLOOKUP(I81,コード!$C$5:$I$11,3,FALSE)&amp;");"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("&amp;"'"&amp;B82&amp;"'"&amp;","&amp;"'"&amp;C82&amp;"'"&amp;","&amp;VLOOKUP(D82,コード!$C$48:$I$108,3,FALSE)&amp;","&amp;E82&amp;","&amp;F82&amp;","&amp;G82&amp;","&amp;H82&amp;","&amp;VLOOKUP(I82,コード!$C$5:$I$11,3,FALSE)&amp;");"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("&amp;"'"&amp;B83&amp;"'"&amp;","&amp;"'"&amp;C83&amp;"'"&amp;","&amp;VLOOKUP(D83,コード!$C$48:$I$108,3,FALSE)&amp;","&amp;E83&amp;","&amp;F83&amp;","&amp;G83&amp;","&amp;H83&amp;","&amp;VLOOKUP(I83,コード!$C$5:$I$11,3,FALSE)&amp;");"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("&amp;"'"&amp;B84&amp;"'"&amp;","&amp;"'"&amp;C84&amp;"'"&amp;","&amp;VLOOKUP(D84,コード!$C$48:$I$108,3,FALSE)&amp;","&amp;E84&amp;","&amp;F84&amp;","&amp;G84&amp;","&amp;H84&amp;","&amp;VLOOKUP(I84,コード!$C$5:$I$11,3,FALSE)&amp;");"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("&amp;"'"&amp;B85&amp;"'"&amp;","&amp;"'"&amp;C85&amp;"'"&amp;","&amp;VLOOKUP(D85,コード!$C$48:$I$108,3,FALSE)&amp;","&amp;E85&amp;","&amp;F85&amp;","&amp;G85&amp;","&amp;H85&amp;","&amp;VLOOKUP(I85,コード!$C$5:$I$11,3,FALSE)&amp;");"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("&amp;"'"&amp;B86&amp;"'"&amp;","&amp;"'"&amp;C86&amp;"'"&amp;","&amp;VLOOKUP(D86,コード!$C$48:$I$108,3,FALSE)&amp;","&amp;E86&amp;","&amp;F86&amp;","&amp;G86&amp;","&amp;H86&amp;","&amp;VLOOKUP(I86,コード!$C$5:$I$11,3,FALSE)&amp;");"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("&amp;"'"&amp;B87&amp;"'"&amp;","&amp;"'"&amp;C87&amp;"'"&amp;","&amp;VLOOKUP(D87,コード!$C$48:$I$108,3,FALSE)&amp;","&amp;E87&amp;","&amp;F87&amp;","&amp;G87&amp;","&amp;H87&amp;","&amp;VLOOKUP(I87,コード!$C$5:$I$11,3,FALSE)&amp;");"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("&amp;"'"&amp;B88&amp;"'"&amp;","&amp;"'"&amp;C88&amp;"'"&amp;","&amp;VLOOKUP(D88,コード!$C$48:$I$108,3,FALSE)&amp;","&amp;E88&amp;","&amp;F88&amp;","&amp;G88&amp;","&amp;H88&amp;","&amp;VLOOKUP(I88,コード!$C$5:$I$11,3,FALSE)&amp;");"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("&amp;"'"&amp;B89&amp;"'"&amp;","&amp;"'"&amp;C89&amp;"'"&amp;","&amp;VLOOKUP(D89,コード!$C$48:$I$108,3,FALSE)&amp;","&amp;E89&amp;","&amp;F89&amp;","&amp;G89&amp;","&amp;H89&amp;","&amp;VLOOKUP(I89,コード!$C$5:$I$11,3,FALSE)&amp;");"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108"/>
  <sheetViews>
    <sheetView topLeftCell="A82" workbookViewId="0">
      <selection activeCell="G101" sqref="G101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  <row r="83" spans="2:11">
      <c r="B83" s="1" t="s">
        <v>2315</v>
      </c>
      <c r="C83" s="1" t="s">
        <v>2316</v>
      </c>
      <c r="D83" s="1" t="s">
        <v>2317</v>
      </c>
      <c r="E83" s="1" t="s">
        <v>2318</v>
      </c>
    </row>
    <row r="84" spans="2:11">
      <c r="B84" s="1" t="s">
        <v>2366</v>
      </c>
      <c r="C84" s="1" t="s">
        <v>2319</v>
      </c>
      <c r="D84" s="1" t="s">
        <v>2235</v>
      </c>
      <c r="E84" s="1" t="s">
        <v>2320</v>
      </c>
      <c r="K84" s="1" t="s">
        <v>2363</v>
      </c>
    </row>
    <row r="85" spans="2:11">
      <c r="B85" s="1" t="s">
        <v>2362</v>
      </c>
      <c r="C85" s="1" t="s">
        <v>2319</v>
      </c>
      <c r="D85" s="1" t="s">
        <v>2235</v>
      </c>
      <c r="E85" s="1" t="s">
        <v>2321</v>
      </c>
      <c r="K85" s="1" t="s">
        <v>2363</v>
      </c>
    </row>
    <row r="86" spans="2:11">
      <c r="B86" s="1" t="s">
        <v>2368</v>
      </c>
      <c r="C86" s="1" t="s">
        <v>2319</v>
      </c>
      <c r="D86" s="1" t="s">
        <v>2235</v>
      </c>
      <c r="E86" s="1" t="s">
        <v>2322</v>
      </c>
    </row>
    <row r="87" spans="2:11">
      <c r="B87" s="1" t="s">
        <v>2323</v>
      </c>
      <c r="C87" s="1" t="s">
        <v>2319</v>
      </c>
      <c r="D87" s="1" t="s">
        <v>2235</v>
      </c>
      <c r="E87" s="1" t="s">
        <v>2324</v>
      </c>
    </row>
    <row r="88" spans="2:11">
      <c r="B88" s="1" t="s">
        <v>2325</v>
      </c>
      <c r="C88" s="1" t="s">
        <v>2319</v>
      </c>
      <c r="D88" s="1" t="s">
        <v>2235</v>
      </c>
      <c r="E88" s="1" t="s">
        <v>2326</v>
      </c>
      <c r="K88" s="1" t="s">
        <v>2351</v>
      </c>
    </row>
    <row r="89" spans="2:11">
      <c r="B89" s="1" t="s">
        <v>2356</v>
      </c>
      <c r="C89" s="1" t="s">
        <v>2319</v>
      </c>
      <c r="D89" s="1" t="s">
        <v>2238</v>
      </c>
      <c r="E89" s="1" t="s">
        <v>2327</v>
      </c>
      <c r="K89" s="1" t="s">
        <v>2357</v>
      </c>
    </row>
    <row r="90" spans="2:11">
      <c r="B90" s="1" t="s">
        <v>2352</v>
      </c>
      <c r="C90" s="1" t="s">
        <v>2319</v>
      </c>
      <c r="D90" s="1" t="s">
        <v>2235</v>
      </c>
      <c r="E90" s="1" t="s">
        <v>2328</v>
      </c>
      <c r="K90" s="1" t="s">
        <v>2353</v>
      </c>
    </row>
    <row r="91" spans="2:11">
      <c r="B91" s="1" t="s">
        <v>2329</v>
      </c>
      <c r="C91" s="1" t="s">
        <v>2330</v>
      </c>
      <c r="D91" s="1" t="s">
        <v>2331</v>
      </c>
      <c r="E91" s="1" t="s">
        <v>2332</v>
      </c>
    </row>
    <row r="92" spans="2:11">
      <c r="B92" s="1" t="s">
        <v>2354</v>
      </c>
      <c r="C92" s="1" t="s">
        <v>2319</v>
      </c>
      <c r="D92" s="1" t="s">
        <v>2238</v>
      </c>
      <c r="E92" s="1" t="s">
        <v>2333</v>
      </c>
      <c r="K92" s="1" t="s">
        <v>2355</v>
      </c>
    </row>
    <row r="93" spans="2:11">
      <c r="B93" s="1" t="s">
        <v>2364</v>
      </c>
      <c r="C93" s="1" t="s">
        <v>2330</v>
      </c>
      <c r="D93" s="1" t="s">
        <v>2238</v>
      </c>
      <c r="E93" s="1" t="s">
        <v>2334</v>
      </c>
    </row>
    <row r="94" spans="2:11">
      <c r="B94" s="1" t="s">
        <v>2369</v>
      </c>
      <c r="C94" s="1" t="s">
        <v>2330</v>
      </c>
      <c r="D94" s="1" t="s">
        <v>2238</v>
      </c>
      <c r="E94" s="1" t="s">
        <v>2335</v>
      </c>
    </row>
    <row r="95" spans="2:11">
      <c r="B95" s="1" t="s">
        <v>2336</v>
      </c>
      <c r="C95" s="1" t="s">
        <v>2330</v>
      </c>
      <c r="D95" s="1" t="s">
        <v>2238</v>
      </c>
      <c r="E95" s="1" t="s">
        <v>2337</v>
      </c>
    </row>
    <row r="96" spans="2:11">
      <c r="B96" s="1" t="s">
        <v>2345</v>
      </c>
      <c r="C96" s="1" t="s">
        <v>2319</v>
      </c>
      <c r="D96" s="1" t="s">
        <v>2238</v>
      </c>
      <c r="E96" s="1" t="s">
        <v>2338</v>
      </c>
    </row>
    <row r="97" spans="2:7">
      <c r="B97" s="1" t="s">
        <v>2339</v>
      </c>
      <c r="C97" s="1" t="s">
        <v>2319</v>
      </c>
      <c r="D97" s="1" t="s">
        <v>2238</v>
      </c>
      <c r="E97" s="1" t="s">
        <v>2340</v>
      </c>
    </row>
    <row r="98" spans="2:7">
      <c r="B98" s="1" t="s">
        <v>2341</v>
      </c>
      <c r="C98" s="1" t="s">
        <v>2330</v>
      </c>
      <c r="D98" s="1" t="s">
        <v>2331</v>
      </c>
      <c r="E98" s="1" t="s">
        <v>2342</v>
      </c>
    </row>
    <row r="99" spans="2:7">
      <c r="B99" s="1" t="s">
        <v>2365</v>
      </c>
      <c r="C99" s="1" t="s">
        <v>2343</v>
      </c>
      <c r="D99" s="1" t="s">
        <v>2235</v>
      </c>
      <c r="E99" s="1" t="s">
        <v>2344</v>
      </c>
    </row>
    <row r="101" spans="2:7">
      <c r="B101" s="1" t="s">
        <v>2346</v>
      </c>
      <c r="G101" s="1" t="s">
        <v>2367</v>
      </c>
    </row>
    <row r="102" spans="2:7">
      <c r="B102" s="1" t="s">
        <v>2347</v>
      </c>
    </row>
    <row r="103" spans="2:7">
      <c r="B103" s="1" t="s">
        <v>2358</v>
      </c>
      <c r="G103" s="1" t="s">
        <v>2359</v>
      </c>
    </row>
    <row r="104" spans="2:7">
      <c r="B104" s="1" t="s">
        <v>2360</v>
      </c>
      <c r="G104" s="1" t="s">
        <v>2361</v>
      </c>
    </row>
    <row r="106" spans="2:7">
      <c r="B106" s="1" t="s">
        <v>2348</v>
      </c>
    </row>
    <row r="107" spans="2:7">
      <c r="B107" s="1" t="s">
        <v>2349</v>
      </c>
    </row>
    <row r="108" spans="2:7">
      <c r="B108" s="1" t="s">
        <v>2350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opLeftCell="A43"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topLeftCell="A34"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2026-09-08T12:20:50Z</dcterms:modified>
</cp:coreProperties>
</file>