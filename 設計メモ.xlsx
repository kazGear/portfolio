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5621D786-2071-4ECD-A1F2-96C4FDD67F6A}" xr6:coauthVersionLast="47" xr6:coauthVersionMax="47" xr10:uidLastSave="{00000000-0000-0000-0000-000000000000}"/>
  <bookViews>
    <workbookView xWindow="-108" yWindow="-108" windowWidth="23256" windowHeight="12456" activeTab="2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0" i="5" l="1"/>
  <c r="K139" i="5"/>
  <c r="K138" i="5"/>
  <c r="K141" i="5"/>
  <c r="K104" i="5"/>
  <c r="K101" i="5"/>
  <c r="K100" i="5"/>
  <c r="K99" i="5"/>
  <c r="K98" i="5"/>
  <c r="K103" i="5"/>
  <c r="K102" i="5"/>
  <c r="K97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3" i="5"/>
  <c r="K142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<sst xmlns="http://schemas.openxmlformats.org/spreadsheetml/2006/main" count="3648" uniqueCount="1584">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</sst>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60"/>
  <sheetViews>
    <sheetView tabSelected="1" topLeftCell="A87" zoomScaleNormal="100" workbookViewId="0">
      <selection activeCell="C104" sqref="C104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1511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1512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1505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1506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1510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1507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1513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1509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1508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1567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1553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1554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1551</v>
      </c>
      <c r="D98" s="8"/>
      <c r="E98" s="8">
        <v>6</v>
      </c>
      <c r="F98" s="8"/>
      <c r="G98" s="9">
        <v>0</v>
      </c>
      <c r="H98" s="9" t="s">
        <v>125</v>
      </c>
      <c r="I98" s="8" t="s">
        <v>1552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1556</v>
      </c>
      <c r="D99" s="8"/>
      <c r="E99" s="8">
        <v>7</v>
      </c>
      <c r="F99" s="8"/>
      <c r="G99" s="9">
        <v>0</v>
      </c>
      <c r="H99" s="9" t="s">
        <v>125</v>
      </c>
      <c r="I99" s="8" t="s">
        <v>1561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1557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1562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1558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1563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1559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1564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1583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1565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1560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1566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1555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42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1571</v>
      </c>
      <c r="D139" s="8"/>
      <c r="E139" s="8">
        <v>33</v>
      </c>
      <c r="F139" s="8" t="s">
        <v>1572</v>
      </c>
      <c r="G139" s="9">
        <v>0</v>
      </c>
      <c r="H139" s="9" t="s">
        <v>125</v>
      </c>
      <c r="I139" s="8" t="s">
        <v>1573</v>
      </c>
      <c r="K139" s="5" t="str">
        <f t="shared" si="15"/>
        <v>INSERT INTO m_code VALUES ('code010',33,'Okoume','','オクメ',0,0.0,'マホガニーに近く、中低域が豊かで軽量。');</v>
      </c>
    </row>
    <row r="140" spans="2:11">
      <c r="B140" s="8" t="s">
        <v>1427</v>
      </c>
      <c r="C140" s="8" t="s">
        <v>1575</v>
      </c>
      <c r="D140" s="8"/>
      <c r="E140" s="8">
        <v>34</v>
      </c>
      <c r="F140" s="8" t="s">
        <v>1574</v>
      </c>
      <c r="G140" s="9">
        <v>0</v>
      </c>
      <c r="H140" s="9" t="s">
        <v>125</v>
      </c>
      <c r="I140" s="8" t="s">
        <v>1576</v>
      </c>
      <c r="K140" s="5" t="str">
        <f t="shared" ref="K140" si="16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('code010',34,'Meranti','','メランティ',0,0.0,'中域寄りで温かめ、マホガニー系に近い。');</v>
      </c>
    </row>
    <row r="141" spans="2:11">
      <c r="B141" s="8" t="s">
        <v>1427</v>
      </c>
      <c r="C141" s="8" t="s">
        <v>1577</v>
      </c>
      <c r="D141" s="8"/>
      <c r="E141" s="8">
        <v>35</v>
      </c>
      <c r="F141" s="8" t="s">
        <v>1578</v>
      </c>
      <c r="G141" s="9">
        <v>0</v>
      </c>
      <c r="H141" s="9" t="s">
        <v>125</v>
      </c>
      <c r="I141" s="8" t="s">
        <v>1582</v>
      </c>
      <c r="K141" s="5" t="str">
        <f t="shared" ref="K141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('code010',35,'Sakura','','サクラ',0,0.0,'中高域が明るく立ち上がりが速い、日本らしい軽快で抜けの良いサウンド。');</v>
      </c>
    </row>
    <row r="142" spans="2:11">
      <c r="B142" s="8" t="s">
        <v>1427</v>
      </c>
      <c r="C142" s="8" t="s">
        <v>1579</v>
      </c>
      <c r="D142" s="8"/>
      <c r="E142" s="8">
        <v>36</v>
      </c>
      <c r="F142" s="8" t="s">
        <v>1580</v>
      </c>
      <c r="G142" s="9">
        <v>0</v>
      </c>
      <c r="H142" s="9" t="s">
        <v>125</v>
      </c>
      <c r="I142" s="8" t="s">
        <v>1581</v>
      </c>
      <c r="K142" s="5" t="str">
        <f t="shared" si="15"/>
        <v>INSERT INTO m_code VALUES ('code010',36,'Tochi','','トチ',0,0.0,'メイプルに近いクリアさと華やかさを持ちつつ、やや柔らかく豊かな倍音.');</v>
      </c>
    </row>
    <row r="143" spans="2:11">
      <c r="B143" s="8" t="s">
        <v>1427</v>
      </c>
      <c r="C143" s="8" t="s">
        <v>1504</v>
      </c>
      <c r="D143" s="8"/>
      <c r="E143" s="8">
        <v>99</v>
      </c>
      <c r="F143" s="8" t="s">
        <v>1504</v>
      </c>
      <c r="G143" s="9">
        <v>0</v>
      </c>
      <c r="H143" s="9" t="s">
        <v>125</v>
      </c>
      <c r="I143" s="8"/>
      <c r="K143" s="5" t="str">
        <f t="shared" ref="K143:K160" si="18">"INSERT INTO m_code VALUES ("&amp;"'"&amp;B143&amp;"'"&amp;","&amp;E143&amp;","&amp;"'"&amp;C143&amp;"'"&amp;","&amp;"'"&amp;D143&amp;"'"&amp;","&amp;"'"&amp;F143&amp;"'"&amp;","&amp;G143&amp;","&amp;H143&amp;","&amp;"'"&amp;I143&amp;"'"&amp;");"</f>
        <v>INSERT INTO m_code VALUES ('code010',99,'省略','','省略',0,0.0,'');</v>
      </c>
    </row>
    <row r="144" spans="2:11">
      <c r="B144" s="6" t="s">
        <v>1515</v>
      </c>
      <c r="C144" s="6" t="s">
        <v>1514</v>
      </c>
      <c r="D144" s="6" t="s">
        <v>1126</v>
      </c>
      <c r="E144" s="7" t="s">
        <v>123</v>
      </c>
      <c r="F144" s="6" t="s">
        <v>120</v>
      </c>
      <c r="G144" s="6" t="s">
        <v>121</v>
      </c>
      <c r="H144" s="6" t="s">
        <v>122</v>
      </c>
      <c r="I144" s="6" t="s">
        <v>133</v>
      </c>
    </row>
    <row r="145" spans="2:11">
      <c r="B145" s="8" t="s">
        <v>1532</v>
      </c>
      <c r="C145" s="8" t="s">
        <v>1516</v>
      </c>
      <c r="D145" s="8"/>
      <c r="E145" s="8">
        <v>1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('code011',1,'Red','','レッド',0,0.0,'');</v>
      </c>
    </row>
    <row r="146" spans="2:11">
      <c r="B146" s="8" t="s">
        <v>1532</v>
      </c>
      <c r="C146" s="8" t="s">
        <v>1530</v>
      </c>
      <c r="D146" s="8"/>
      <c r="E146" s="8">
        <v>2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('code011',2,'Pink','','ピンク',0,0.0,'');</v>
      </c>
    </row>
    <row r="147" spans="2:11">
      <c r="B147" s="8" t="s">
        <v>1532</v>
      </c>
      <c r="C147" s="8" t="s">
        <v>1517</v>
      </c>
      <c r="D147" s="8"/>
      <c r="E147" s="8">
        <v>3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('code011',3,'Orange','','オレンジ',0,0.0,'');</v>
      </c>
    </row>
    <row r="148" spans="2:11">
      <c r="B148" s="8" t="s">
        <v>1532</v>
      </c>
      <c r="C148" s="8" t="s">
        <v>1518</v>
      </c>
      <c r="D148" s="8"/>
      <c r="E148" s="8">
        <v>4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('code011',4,'Yellow','','イエロー',0,0.0,'');</v>
      </c>
    </row>
    <row r="149" spans="2:11">
      <c r="B149" s="8" t="s">
        <v>1532</v>
      </c>
      <c r="C149" s="8" t="s">
        <v>1519</v>
      </c>
      <c r="D149" s="8"/>
      <c r="E149" s="8">
        <v>5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('code011',5,'Green','','グリーン',0,0.0,'');</v>
      </c>
    </row>
    <row r="150" spans="2:11">
      <c r="B150" s="8" t="s">
        <v>1532</v>
      </c>
      <c r="C150" s="8" t="s">
        <v>1520</v>
      </c>
      <c r="D150" s="8"/>
      <c r="E150" s="8">
        <v>6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('code011',6,'SkyBlue','','スカイブルー',0,0.0,'');</v>
      </c>
    </row>
    <row r="151" spans="2:11">
      <c r="B151" s="8" t="s">
        <v>1532</v>
      </c>
      <c r="C151" s="8" t="s">
        <v>1521</v>
      </c>
      <c r="D151" s="8"/>
      <c r="E151" s="8">
        <v>7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('code011',7,'Blue','','ブルー',0,0.0,'');</v>
      </c>
    </row>
    <row r="152" spans="2:11">
      <c r="B152" s="8" t="s">
        <v>1532</v>
      </c>
      <c r="C152" s="8" t="s">
        <v>1522</v>
      </c>
      <c r="D152" s="8"/>
      <c r="E152" s="8">
        <v>8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('code011',8,'Purple','','パープル',0,0.0,'');</v>
      </c>
    </row>
    <row r="153" spans="2:11">
      <c r="B153" s="8" t="s">
        <v>1532</v>
      </c>
      <c r="C153" s="8" t="s">
        <v>1523</v>
      </c>
      <c r="D153" s="8"/>
      <c r="E153" s="8">
        <v>9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('code011',9,'Gray','','グレー',0,0.0,'');</v>
      </c>
    </row>
    <row r="154" spans="2:11">
      <c r="B154" s="8" t="s">
        <v>1532</v>
      </c>
      <c r="C154" s="8" t="s">
        <v>1524</v>
      </c>
      <c r="D154" s="8"/>
      <c r="E154" s="8">
        <v>10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('code011',10,'Black','','ブラック',0,0.0,'');</v>
      </c>
    </row>
    <row r="155" spans="2:11">
      <c r="B155" s="8" t="s">
        <v>1532</v>
      </c>
      <c r="C155" s="8" t="s">
        <v>1525</v>
      </c>
      <c r="D155" s="8"/>
      <c r="E155" s="8">
        <v>11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('code011',11,'White','','ホワイト',0,0.0,'');</v>
      </c>
    </row>
    <row r="156" spans="2:11">
      <c r="B156" s="8" t="s">
        <v>1532</v>
      </c>
      <c r="C156" s="8" t="s">
        <v>1526</v>
      </c>
      <c r="D156" s="8"/>
      <c r="E156" s="8">
        <v>12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('code011',12,'Natural','','ナチュラル',0,0.0,'');</v>
      </c>
    </row>
    <row r="157" spans="2:11">
      <c r="B157" s="8" t="s">
        <v>1532</v>
      </c>
      <c r="C157" s="8" t="s">
        <v>1531</v>
      </c>
      <c r="D157" s="8"/>
      <c r="E157" s="8">
        <v>13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('code011',13,'Brown','','ブラウン',0,0.0,'');</v>
      </c>
    </row>
    <row r="158" spans="2:11">
      <c r="B158" s="8" t="s">
        <v>1532</v>
      </c>
      <c r="C158" s="8" t="s">
        <v>1527</v>
      </c>
      <c r="D158" s="8"/>
      <c r="E158" s="8">
        <v>14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('code011',14,'Gold','','ゴールド',0,0.0,'');</v>
      </c>
    </row>
    <row r="159" spans="2:11">
      <c r="B159" s="8" t="s">
        <v>1532</v>
      </c>
      <c r="C159" s="8" t="s">
        <v>1528</v>
      </c>
      <c r="D159" s="8"/>
      <c r="E159" s="8">
        <v>15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('code011',15,'Silver','','シルバー',0,0.0,'');</v>
      </c>
    </row>
    <row r="160" spans="2:11">
      <c r="B160" s="8" t="s">
        <v>1532</v>
      </c>
      <c r="C160" s="8" t="s">
        <v>1529</v>
      </c>
      <c r="D160" s="8"/>
      <c r="E160" s="8">
        <v>99</v>
      </c>
      <c r="F160" s="8" t="s">
        <v>1548</v>
      </c>
      <c r="G160" s="9">
        <v>0</v>
      </c>
      <c r="H160" s="9" t="s">
        <v>125</v>
      </c>
      <c r="I160" s="8"/>
      <c r="K160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D7" sqref="D7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1550</v>
      </c>
    </row>
    <row r="4" spans="1:15" ht="18">
      <c r="A4" s="1" t="s">
        <v>1289</v>
      </c>
      <c r="B4" s="60" t="s">
        <v>1288</v>
      </c>
      <c r="C4" s="61" t="s">
        <v>1549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1552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1568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1569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1570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2026-06-23T10:30:18Z</dcterms:modified>
</cp:coreProperties>
</file>