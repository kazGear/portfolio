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1A90AC96-CB22-4CB7-B176-09B59F5990BD}" xr6:coauthVersionLast="47" xr6:coauthVersionMax="47" xr10:uidLastSave="{00000000-0000-0000-0000-000000000000}"/>
  <bookViews>
    <workbookView xWindow="-108" yWindow="-108" windowWidth="23256" windowHeight="12456" firstSheet="1" activeTab="9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  <sheet name="public API" sheetId="10" r:id="rId10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0" i="5" l="1"/>
  <c r="K139" i="5"/>
  <c r="K138" i="5"/>
  <c r="K141" i="5"/>
  <c r="K104" i="5"/>
  <c r="K101" i="5"/>
  <c r="K100" i="5"/>
  <c r="K99" i="5"/>
  <c r="K98" i="5"/>
  <c r="K103" i="5"/>
  <c r="K102" i="5"/>
  <c r="K97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3" i="5"/>
  <c r="K142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<sst xmlns="http://schemas.openxmlformats.org/spreadsheetml/2006/main" count="3753" uniqueCount="1680">
  <si>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</si>
  <si>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</si>
  <si>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</si>
  <si>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</si>
  <si>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</si>
  <si>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</si>
  <si>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</si>
  <si>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</si>
  <si>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</si>
  <si>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</si>
  <si>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</si>
  <si>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</si>
  <si>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</si>
  <si>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</si>
  <si>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</si>
  <si>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</si>
  <si>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</si>
  <si>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</si>
  <si>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</si>
  <si>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</si>
  <si>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</si>
  <si>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</si>
  <si>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</si>
  <si>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</si>
  <si>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</si>
  <si>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</si>
  <si>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</si>
  <si>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</si>
  <si>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</si>
  <si>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</si>
  <si>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</si>
  <si>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</si>
  <si>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</si>
  <si>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</si>
  <si>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</si>
  <si>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</si>
  <si>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</si>
  <si>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</si>
  <si>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</si>
  <si>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</si>
  <si>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</si>
  <si>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</si>
  <si>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</si>
  <si>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</si>
  <si>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</si>
  <si>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</si>
  <si>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</si>
  <si>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</si>
  <si>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</si>
  <si>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</si>
  <si>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</si>
  <si>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</si>
  <si>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</si>
  <si>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</si>
  <si>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</si>
  <si>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</si>
  <si>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</si>
  <si>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</si>
  <si>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</si>
  <si>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</si>
  <si>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</si>
  <si>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</si>
  <si>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</si>
  <si>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</si>
  <si>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</si>
  <si>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</si>
  <si>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</si>
  <si>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</si>
  <si>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</si>
  <si>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</si>
  <si>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</si>
  <si>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</si>
  <si>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</si>
  <si>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</si>
  <si>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</si>
  <si>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</si>
  <si>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</si>
  <si>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</si>
  <si>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</si>
  <si>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</si>
  <si>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</si>
  <si>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</si>
  <si>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</si>
  <si>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</si>
  <si>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</si>
  <si>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</si>
  <si>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</si>
  <si>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</si>
  <si>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</si>
  <si>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</si>
  <si>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</si>
  <si>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</si>
  <si>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</si>
  <si>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</si>
  <si>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</si>
  <si>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</si>
  <si>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</si>
  <si>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</si>
  <si>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</si>
  <si>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</si>
  <si>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</si>
  <si>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</si>
  <si>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</si>
  <si>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</si>
  <si>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</si>
  <si>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</si>
  <si>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</si>
  <si>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</si>
  <si>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</si>
  <si>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</si>
  <si>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</si>
  <si>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</si>
  <si>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</si>
  <si>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</si>
  <si>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</si>
  <si>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</si>
  <si>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</si>
  <si>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</si>
  <si>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</si>
  <si>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</si>
  <si>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</si>
  <si>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</si>
  <si>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</si>
  <si>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</si>
  <si>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</si>
  <si>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</si>
  <si>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</si>
  <si>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</si>
  <si>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</si>
  <si>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</si>
  <si>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</si>
  <si>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</si>
  <si>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</si>
  <si>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</si>
  <si>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</si>
  <si>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</si>
  <si>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</si>
  <si>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</si>
  <si>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</si>
  <si>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</si>
  <si>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</si>
  <si>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</si>
  <si>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</si>
  <si>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</si>
  <si>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</si>
  <si>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</si>
  <si>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</si>
  <si>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</si>
  <si>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</si>
  <si>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</si>
  <si>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</si>
  <si>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</si>
  <si>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</si>
  <si>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</si>
  <si>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</si>
  <si>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</si>
  <si>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</si>
  <si>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</si>
  <si>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</si>
  <si>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</si>
  <si>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</si>
  <si>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</si>
  <si>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</si>
  <si>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</si>
  <si>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</si>
  <si>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</si>
  <si>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</si>
  <si>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</si>
  <si>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</si>
  <si>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</si>
  <si>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</si>
  <si>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</si>
  <si>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</si>
  <si>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</si>
  <si>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</si>
  <si>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</si>
  <si>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</si>
  <si>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</si>
  <si>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</si>
  <si>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</si>
  <si>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</si>
  <si>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</si>
  <si>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</si>
  <si>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</si>
  <si>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</si>
  <si>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</si>
  <si>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</si>
  <si>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</si>
  <si>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</si>
  <si>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</si>
  <si>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</si>
  <si>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</si>
  <si>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</si>
  <si>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</si>
  <si>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</si>
  <si>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</si>
  <si>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</si>
  <si>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</si>
  <si>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</si>
  <si>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</si>
  <si>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</si>
  <si>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</si>
  <si>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</si>
  <si>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</si>
  <si>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</si>
  <si>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</si>
  <si>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</si>
  <si>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</si>
  <si>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</si>
  <si>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</si>
  <si>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</si>
  <si>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</si>
  <si>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</si>
  <si>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</si>
  <si>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</si>
  <si>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</si>
  <si>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</si>
  <si>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</si>
  <si>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</si>
  <si>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</si>
  <si>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</si>
  <si>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</si>
  <si>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</si>
  <si>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</si>
  <si>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</si>
  <si>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</si>
  <si>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</si>
  <si>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</si>
  <si>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</si>
  <si>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</si>
  <si>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</si>
  <si>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</si>
  <si>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</si>
  <si>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</si>
  <si>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</si>
  <si>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</si>
  <si>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</si>
  <si>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</si>
  <si>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</si>
  <si>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</si>
  <si>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</si>
  <si>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</si>
  <si>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</si>
  <si>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</si>
  <si>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</si>
  <si>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</si>
  <si>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</si>
  <si>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</si>
  <si>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</si>
  <si>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</si>
  <si>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</si>
  <si>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</si>
  <si>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</si>
  <si>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</si>
  <si>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</si>
  <si>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</si>
  <si>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</si>
  <si>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</si>
  <si>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</si>
  <si>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</si>
  <si>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</si>
  <si>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</si>
  <si>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</si>
  <si>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</si>
  <si>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</si>
  <si>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</si>
  <si>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</si>
  <si>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</si>
  <si>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</si>
  <si>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</si>
  <si>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</si>
  <si>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</si>
  <si>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</si>
  <si>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</si>
  <si>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</si>
  <si>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</si>
  <si>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</si>
  <si>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</si>
  <si>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</si>
  <si>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</si>
  <si>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</si>
  <si>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</si>
  <si>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</si>
  <si>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</si>
  <si>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</si>
  <si>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</si>
  <si>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</si>
  <si>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</si>
  <si>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</si>
  <si>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</si>
  <si>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</si>
  <si>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</si>
  <si>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</si>
  <si>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</si>
  <si>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</si>
  <si>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</si>
  <si>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</si>
  <si>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</si>
  <si>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</si>
  <si>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</si>
  <si>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</si>
  <si>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</si>
  <si>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</si>
  <si>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</si>
  <si>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</si>
  <si>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</si>
  <si>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</si>
  <si>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</si>
  <si>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</si>
  <si>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</si>
  <si>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</si>
  <si>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</si>
  <si>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</si>
  <si>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</si>
  <si>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</si>
  <si>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</si>
  <si>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</si>
  <si>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</si>
  <si>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</si>
  <si>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</si>
  <si>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</si>
  <si>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</si>
  <si>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</si>
  <si>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</si>
  <si>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</si>
  <si>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</si>
  <si>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</si>
  <si>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</si>
  <si>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</si>
  <si>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</si>
  <si>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</si>
  <si>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</si>
  <si>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</si>
  <si>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</si>
  <si>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</si>
  <si>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</si>
  <si>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</si>
  <si>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</si>
  <si>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</si>
  <si>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</si>
  <si>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</si>
  <si>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</si>
  <si>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</si>
  <si>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</si>
  <si>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</si>
  <si>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</si>
  <si>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</si>
  <si>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</si>
  <si>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</si>
  <si>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</si>
  <si>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</si>
  <si>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</si>
  <si>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</si>
  <si>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</si>
  <si>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</si>
  <si>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</si>
  <si>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</si>
  <si>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</si>
  <si>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</si>
  <si>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</si>
  <si>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</si>
  <si>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</si>
  <si>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</si>
  <si>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</si>
  <si>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</si>
  <si>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</si>
  <si>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</si>
  <si>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</si>
  <si>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</si>
  <si>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</si>
  <si>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</si>
  <si>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</si>
  <si>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</si>
  <si>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</si>
  <si>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</si>
  <si>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</si>
  <si>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</si>
  <si>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</si>
  <si>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</si>
  <si>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</si>
  <si>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</si>
  <si>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</si>
  <si>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</si>
  <si>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</si>
  <si>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</si>
  <si>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</si>
  <si>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</si>
  <si>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</si>
  <si>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</si>
  <si>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</si>
  <si>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</si>
  <si>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</si>
  <si>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</si>
  <si>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</si>
  <si>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</si>
  <si>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</si>
  <si>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</si>
  <si>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</si>
  <si>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</si>
  <si>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</si>
  <si>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</si>
  <si>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</si>
  <si>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</si>
  <si>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</si>
  <si>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</si>
  <si>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</si>
  <si>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</si>
  <si>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</si>
  <si>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</si>
  <si>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</si>
  <si>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</si>
  <si>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</si>
  <si>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</si>
  <si>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</si>
  <si>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</si>
  <si>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</si>
  <si>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</si>
  <si>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</si>
  <si>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</si>
  <si>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</si>
  <si>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</si>
  <si>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</si>
  <si>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</si>
  <si>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</si>
  <si>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</si>
  <si>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</si>
  <si>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</si>
  <si>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</si>
  <si>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</si>
  <si>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</si>
  <si>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</si>
  <si>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</si>
  <si>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</si>
  <si>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</si>
  <si>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</si>
  <si>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</si>
  <si>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</si>
  <si>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</si>
  <si>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</si>
  <si>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</si>
  <si>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</si>
  <si>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</si>
  <si>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</si>
  <si>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</si>
  <si>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</si>
  <si>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</si>
  <si>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</si>
  <si>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</si>
  <si>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</si>
  <si>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</si>
  <si>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</si>
  <si>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</si>
  <si>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</si>
  <si>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</si>
  <si>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</si>
  <si>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</si>
  <si>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</si>
  <si>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</si>
  <si>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</si>
  <si>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</si>
  <si>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</si>
  <si>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</si>
  <si>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</si>
  <si>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</si>
  <si>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</si>
  <si>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</si>
  <si>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</si>
  <si>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</si>
  <si>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</si>
  <si>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</si>
  <si>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</si>
  <si>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</si>
  <si>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</si>
  <si>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</si>
  <si>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</si>
  <si>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</si>
  <si>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</si>
  <si>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</si>
  <si>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</si>
  <si>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</si>
  <si>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</si>
  <si>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</si>
  <si>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</si>
  <si>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</si>
  <si>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</si>
  <si>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</si>
  <si>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</si>
  <si>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</si>
  <si>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</si>
  <si>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</si>
  <si>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</si>
  <si>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</si>
  <si>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</si>
  <si>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</si>
  <si>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</si>
  <si>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</si>
  <si>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</si>
  <si>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</si>
  <si>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</si>
  <si>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</si>
  <si>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</si>
  <si>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</si>
  <si>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</si>
  <si>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</si>
  <si>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</si>
  <si>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</si>
  <si>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</si>
  <si>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</si>
  <si>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</si>
  <si>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</si>
  <si>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</si>
  <si>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</si>
  <si>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</si>
  <si>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</si>
  <si>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</si>
  <si>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</si>
  <si>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</si>
  <si>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</si>
  <si>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</si>
  <si>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</si>
  <si>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</si>
  <si>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</si>
  <si>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</si>
  <si>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</si>
  <si>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</si>
  <si>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</si>
  <si>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</si>
  <si>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</si>
  <si>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</si>
  <si>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</si>
  <si>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</si>
  <si>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</si>
  <si>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</si>
  <si>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</si>
  <si>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</si>
  <si>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</si>
  <si>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</si>
  <si>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</si>
  <si>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</si>
  <si>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</si>
  <si>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</si>
  <si>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</si>
  <si>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</si>
  <si>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</si>
  <si>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</si>
  <si>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</si>
  <si>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</si>
  <si>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</si>
  <si>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</si>
  <si>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</si>
  <si>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</si>
  <si>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</si>
  <si>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</si>
  <si>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</si>
  <si>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</si>
  <si>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</si>
  <si>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</si>
  <si>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</si>
  <si>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</si>
  <si>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</si>
  <si>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</si>
  <si>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</si>
  <si>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</si>
  <si>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</si>
  <si>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</si>
  <si>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</si>
  <si>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</si>
  <si>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</si>
  <si>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</si>
  <si>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</si>
  <si>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</si>
  <si>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</si>
  <si>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</si>
  <si>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</si>
  <si>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</si>
  <si>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</si>
  <si>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</si>
  <si>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</si>
  <si>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</si>
  <si>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</si>
  <si>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</si>
  <si>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</si>
  <si>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</si>
  <si>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</si>
  <si>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</si>
  <si>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</si>
  <si>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</si>
  <si>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</si>
  <si>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</si>
  <si>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</si>
  <si>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</si>
  <si>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</si>
  <si>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</si>
  <si>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</si>
  <si>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</si>
  <si>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</si>
  <si>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</si>
  <si>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</si>
  <si>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</si>
  <si>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</si>
  <si>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</si>
  <si>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</si>
  <si>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</si>
  <si>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</si>
  <si>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</si>
  <si>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</si>
  <si>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</si>
  <si>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</si>
  <si>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</si>
  <si>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</si>
  <si>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</si>
  <si>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</si>
  <si>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</si>
  <si>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</si>
  <si>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</si>
  <si>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</si>
  <si>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</si>
  <si>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</si>
  <si>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</si>
  <si>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</si>
  <si>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</si>
  <si>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</si>
  <si>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</si>
  <si>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</si>
  <si>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</si>
  <si>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</si>
  <si>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</si>
  <si>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</si>
  <si>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</si>
  <si>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</si>
  <si>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</si>
  <si>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</si>
  <si>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</si>
  <si>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</si>
  <si>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</si>
  <si>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</si>
  <si>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</si>
  <si>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</si>
  <si>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</si>
  <si>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</si>
  <si>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</si>
  <si>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</si>
  <si>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</si>
  <si>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</si>
  <si>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</si>
  <si>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</si>
  <si>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</si>
  <si>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</si>
  <si>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</si>
  <si>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</si>
  <si>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</si>
  <si>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</si>
  <si>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</si>
  <si>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</si>
  <si>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</si>
  <si>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</si>
  <si>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</si>
  <si>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</si>
  <si>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</si>
  <si>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</si>
  <si>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</si>
  <si>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</si>
  <si>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</si>
  <si>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</si>
  <si>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</si>
  <si>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</si>
  <si>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</si>
  <si>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</si>
  <si>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</si>
  <si>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</si>
  <si>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</si>
  <si>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</si>
  <si>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</si>
  <si>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</si>
  <si>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</si>
  <si>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</si>
  <si>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</si>
  <si>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</si>
  <si>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</si>
  <si>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</si>
  <si>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</si>
  <si>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</si>
  <si>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</si>
  <si>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</si>
  <si>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</si>
  <si>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</si>
  <si>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</si>
  <si>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</si>
  <si>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</si>
  <si>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</si>
  <si>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</si>
  <si>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</si>
  <si>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</si>
  <si>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</si>
  <si>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</si>
  <si>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</si>
  <si>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</si>
  <si>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</si>
  <si>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</si>
  <si>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</si>
  <si>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</si>
  <si>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</si>
  <si>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</si>
  <si>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</si>
  <si>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</si>
  <si>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</si>
  <si>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</si>
  <si>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</si>
  <si>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</si>
  <si>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</si>
  <si>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</si>
  <si>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</si>
  <si>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</si>
  <si>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</si>
  <si>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</si>
  <si>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</si>
  <si>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</si>
  <si>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</si>
  <si>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</si>
  <si>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</si>
  <si>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</si>
  <si>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</si>
  <si>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</si>
  <si>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</si>
  <si>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</si>
  <si>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</si>
  <si>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</si>
  <si>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</si>
  <si>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</si>
  <si>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</si>
  <si>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</si>
  <si>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</si>
  <si>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</si>
  <si>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</si>
  <si>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</si>
  <si>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</si>
  <si>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</si>
  <si>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</si>
  <si>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</si>
  <si>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</si>
  <si>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</si>
  <si>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</si>
  <si>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</si>
  <si>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</si>
  <si>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</si>
  <si>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</si>
  <si>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</si>
  <si>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</si>
  <si>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</si>
  <si>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</si>
  <si>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</si>
  <si>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</si>
  <si>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</si>
  <si>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</si>
  <si>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</si>
  <si>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</si>
  <si>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</si>
  <si>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</si>
  <si>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</si>
  <si>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</si>
  <si>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</si>
  <si>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</si>
  <si>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</si>
  <si>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</si>
  <si>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</si>
  <si>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</si>
  <si>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</si>
  <si>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</si>
  <si>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</si>
  <si>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</si>
  <si>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</si>
  <si>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</si>
  <si>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</si>
  <si>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</si>
  <si>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</si>
  <si>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</si>
  <si>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</si>
  <si>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</si>
  <si>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</si>
  <si>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</si>
  <si>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</si>
  <si>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</si>
  <si>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</si>
  <si>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</si>
  <si>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</si>
  <si>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</si>
  <si>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</si>
  <si>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</si>
  <si>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</si>
  <si>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</si>
  <si>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</si>
  <si>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</si>
  <si>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</si>
  <si>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</si>
  <si>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</si>
  <si>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</si>
  <si>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</si>
  <si>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</si>
  <si>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</si>
  <si>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</si>
  <si>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</si>
  <si>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</si>
  <si>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</si>
  <si>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</si>
  <si>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</si>
  <si>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</si>
  <si>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</si>
  <si>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</si>
  <si>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</si>
  <si>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</si>
  <si>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</si>
  <si>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</si>
  <si>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</si>
  <si>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</si>
  <si>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</si>
  <si>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</si>
  <si>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</si>
  <si>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</si>
  <si>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</si>
  <si>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</si>
  <si>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</si>
  <si>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</si>
  <si>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</si>
  <si>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</si>
  <si>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</si>
  <si>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</si>
  <si>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</si>
  <si>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</si>
  <si>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</si>
  <si>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</si>
  <si>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</si>
  <si>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</si>
  <si>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</si>
  <si>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</si>
  <si>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</si>
  <si>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</si>
  <si>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</si>
  <si>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</si>
  <si>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</si>
  <si>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</si>
  <si>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</si>
  <si>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</si>
  <si>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</si>
  <si>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</si>
  <si>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</si>
  <si>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</si>
  <si>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</si>
  <si>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</si>
  <si>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</si>
  <si>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</si>
  <si>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</si>
  <si>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</si>
  <si>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</si>
  <si>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</si>
  <si>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</si>
  <si>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</si>
  <si>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</si>
  <si>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</si>
  <si>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</si>
  <si>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</si>
  <si>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</si>
  <si>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</si>
  <si>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</si>
  <si>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</si>
  <si>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</si>
  <si>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</si>
  <si>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</si>
  <si>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</si>
  <si>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</si>
  <si>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</si>
  <si>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</si>
  <si>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</si>
  <si>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</si>
  <si>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</si>
  <si>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</si>
  <si>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</si>
  <si>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</si>
  <si>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</si>
  <si>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</si>
  <si>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</si>
  <si>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</si>
  <si>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</si>
  <si>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</si>
  <si>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</si>
  <si>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</si>
  <si>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</si>
  <si>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</si>
  <si>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</si>
  <si>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</si>
  <si>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</si>
  <si>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</si>
  <si>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</si>
  <si>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</si>
  <si>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</si>
  <si>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</si>
  <si>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</si>
  <si>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</si>
  <si>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</si>
  <si>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</si>
  <si>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</si>
  <si>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</si>
  <si>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</si>
  <si>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</si>
  <si>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</si>
  <si>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</si>
  <si>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</si>
  <si>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</si>
  <si>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</si>
  <si>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</si>
  <si>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</si>
  <si>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</si>
  <si>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</si>
  <si>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</si>
  <si>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</si>
  <si>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</si>
  <si>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</si>
  <si>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</si>
  <si>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</si>
  <si>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</si>
  <si>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</si>
  <si>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</si>
  <si>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</si>
  <si>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</si>
  <si>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</si>
  <si>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</si>
  <si>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</si>
  <si>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</si>
  <si>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</si>
  <si>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</si>
  <si>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</si>
  <si>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</si>
  <si>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</si>
  <si>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</si>
  <si>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</si>
  <si>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</si>
  <si>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</si>
  <si>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</si>
  <si>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</si>
  <si>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</si>
  <si>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</si>
  <si>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</si>
  <si>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</si>
  <si>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</si>
  <si>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</si>
  <si>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</si>
  <si>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</si>
  <si>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</si>
  <si>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</si>
  <si>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</si>
  <si>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</si>
  <si>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</si>
  <si>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</si>
  <si>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</si>
  <si>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</si>
  <si>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</si>
  <si>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</si>
  <si>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</si>
  <si>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</si>
  <si>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</si>
  <si>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</si>
  <si>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</si>
  <si>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</si>
  <si>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</si>
  <si>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</si>
  <si>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</si>
  <si>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</si>
  <si>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</si>
  <si>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</si>
  <si>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</si>
  <si>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</si>
  <si>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</si>
  <si>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</si>
  <si>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</si>
  <si>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</si>
  <si>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</si>
  <si>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</si>
  <si>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</si>
  <si>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</si>
  <si>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</si>
  <si>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</si>
  <si>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</si>
  <si>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</si>
  <si>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</si>
  <si>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</si>
  <si>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</si>
  <si>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</si>
  <si>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</si>
  <si>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</si>
  <si>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</si>
  <si>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</si>
  <si>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</si>
  <si>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</si>
  <si>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</si>
  <si>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</si>
  <si>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</si>
  <si>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</si>
  <si>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</si>
  <si>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</si>
  <si>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</si>
  <si>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</si>
  <si>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</si>
  <si>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</si>
  <si>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</si>
  <si>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</si>
  <si>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</si>
  <si>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</si>
  <si>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</si>
  <si>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</si>
  <si>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</si>
  <si>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</si>
  <si>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</si>
  <si>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</si>
  <si>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</si>
  <si>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</si>
  <si>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</si>
  <si>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</si>
  <si>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</si>
  <si>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</si>
  <si>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</si>
  <si>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</si>
  <si>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</si>
  <si>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</si>
  <si>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</si>
  <si>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</si>
  <si>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</si>
  <si>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</si>
  <si>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</si>
  <si>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</si>
  <si>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</si>
  <si>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</si>
  <si>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</si>
  <si>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</si>
  <si>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</si>
  <si>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</si>
  <si>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</si>
  <si>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</si>
  <si>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</si>
  <si>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</si>
  <si>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</si>
  <si>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</si>
  <si>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</si>
  <si>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</si>
  <si>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</si>
  <si>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</si>
  <si>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</si>
  <si>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</si>
  <si>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</si>
  <si>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</si>
  <si>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</si>
  <si>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</si>
  <si>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</si>
  <si>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</si>
  <si>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</si>
  <si>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</si>
  <si>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</si>
  <si>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</si>
  <si>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</si>
  <si>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</si>
  <si>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</si>
  <si>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</si>
  <si>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</si>
  <si>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</si>
  <si>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</si>
  <si>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</si>
  <si>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</si>
  <si>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</si>
  <si>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</si>
  <si>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</si>
  <si>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</si>
  <si>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</si>
  <si>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</si>
  <si>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</si>
  <si>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</si>
  <si>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</si>
  <si>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</si>
  <si>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</si>
  <si>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</si>
  <si>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</si>
  <si>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</si>
  <si>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</si>
  <si>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</si>
  <si>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</si>
  <si>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</si>
  <si>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</si>
  <si>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</si>
  <si>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</si>
  <si>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</si>
  <si>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</si>
  <si>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</si>
  <si>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</si>
  <si>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</si>
  <si>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</si>
  <si>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</si>
  <si>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</si>
  <si>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</si>
  <si>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</si>
  <si>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</si>
  <si>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</si>
  <si>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</si>
  <si>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</si>
  <si>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</si>
  <si>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</si>
  <si>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</si>
  <si>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</si>
  <si>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</si>
  <si>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</si>
  <si>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</si>
  <si>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</si>
  <si>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</si>
  <si>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</si>
  <si>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</si>
  <si>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</si>
  <si>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</si>
  <si>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</si>
  <si>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</si>
  <si>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</si>
  <si>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</si>
  <si>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</si>
  <si>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</si>
  <si>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</si>
  <si>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</si>
  <si>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</si>
  <si>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</si>
  <si>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</si>
  <si>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</si>
  <si>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</si>
  <si>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</si>
  <si>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</si>
  <si>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</si>
  <si>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</si>
  <si>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</si>
  <si>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</si>
  <si>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</si>
  <si>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</si>
  <si>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</si>
  <si>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</si>
  <si>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</si>
  <si>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</si>
  <si>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</si>
  <si>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</si>
  <si>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</si>
  <si>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</si>
  <si>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</si>
  <si>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</si>
  <si>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</si>
  <si>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</si>
  <si>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</si>
  <si>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</si>
  <si>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</si>
  <si>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</si>
  <si>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</si>
  <si>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</si>
  <si>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</si>
  <si>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</si>
  <si>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</si>
  <si>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</si>
  <si>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</si>
  <si>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</si>
  <si>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</si>
  <si>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</si>
  <si>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</si>
  <si>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</si>
  <si>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</si>
  <si>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</si>
  <si>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</si>
  <si>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</si>
  <si>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</si>
  <si>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</si>
  <si>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</si>
  <si>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</si>
  <si>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</si>
  <si>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</si>
  <si>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</si>
  <si>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</si>
  <si>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</si>
  <si>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</si>
  <si>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</si>
  <si>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</si>
  <si>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</si>
  <si>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</si>
  <si>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</si>
  <si>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</si>
  <si>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</si>
  <si>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</si>
  <si>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</si>
  <si>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</si>
  <si>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</si>
  <si>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</si>
  <si>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</si>
  <si>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</si>
  <si>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</si>
  <si>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</si>
  <si>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</si>
  <si>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</si>
  <si>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</si>
  <si>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</si>
  <si>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</si>
  <si>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</si>
  <si>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</si>
  <si>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</si>
  <si>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</si>
  <si>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</si>
  <si>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</si>
  <si>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</si>
  <si>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</si>
  <si>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</si>
  <si>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</si>
  <si>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</si>
  <si>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</si>
  <si>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</si>
  <si>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</si>
  <si>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</si>
  <si>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</si>
  <si>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</si>
  <si>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</si>
  <si>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</si>
  <si>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</si>
  <si>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</si>
  <si>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</si>
  <si>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</si>
  <si>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</si>
  <si>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</si>
  <si>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</si>
  <si>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</si>
  <si>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</si>
  <si>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</si>
  <si>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</si>
  <si>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</si>
  <si>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</si>
  <si>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</si>
  <si>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</si>
  <si>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</si>
  <si>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</si>
  <si>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</si>
  <si>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</si>
  <si>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</si>
  <si>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</si>
  <si>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</si>
  <si>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</si>
  <si>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</si>
  <si>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</si>
  <si>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</si>
  <si>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</si>
  <si>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</si>
  <si>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</si>
  <si>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</si>
  <si>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</si>
  <si>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</si>
  <si>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</si>
  <si>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</si>
  <si>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</si>
  <si>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</si>
  <si>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</si>
  <si>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</si>
  <si>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</si>
  <si>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</si>
  <si>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</si>
  <si>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</si>
  <si>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</si>
  <si>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</si>
  <si>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</si>
  <si>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</si>
  <si>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</si>
  <si>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</si>
  <si>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</si>
  <si>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</si>
  <si>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</si>
  <si>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</si>
  <si>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</si>
  <si>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</si>
  <si>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</si>
  <si>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</si>
  <si>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</si>
  <si>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</si>
  <si>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</si>
  <si>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</si>
  <si>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</si>
  <si>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</si>
  <si>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</si>
  <si>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</si>
  <si>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</si>
  <si>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</si>
  <si>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</si>
  <si>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</si>
  <si>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</si>
  <si>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</si>
  <si>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</si>
  <si>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</si>
  <si>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</si>
  <si>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</si>
  <si>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</si>
  <si>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</si>
  <si>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</si>
  <si>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</si>
  <si>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</si>
  <si>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</si>
  <si>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</si>
  <si>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</si>
  <si>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</si>
  <si>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</si>
  <si>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</si>
  <si>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</si>
  <si>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</si>
  <si>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</si>
  <si>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</si>
  <si>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</si>
  <si>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</si>
  <si>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</si>
  <si>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</si>
  <si>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</si>
  <si>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</si>
  <si>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</si>
  <si>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</si>
  <si>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</si>
  <si>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</si>
  <si>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</si>
  <si>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</si>
  <si>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</si>
  <si>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</si>
  <si>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</si>
  <si>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</si>
  <si>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</si>
  <si>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</si>
  <si>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</si>
  <si>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</si>
  <si>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</si>
  <si>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</si>
  <si>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</si>
  <si>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</si>
  <si>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</si>
  <si>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</si>
  <si>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</si>
  <si>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</si>
  <si>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</si>
  <si>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</si>
  <si>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</si>
  <si>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</si>
  <si>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</si>
  <si>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</si>
  <si>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</si>
  <si>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</si>
  <si>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</si>
  <si>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</si>
  <si>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</si>
  <si>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</si>
  <si>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</si>
  <si>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</si>
  <si>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</si>
  <si>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</si>
  <si>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</si>
  <si>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</si>
  <si>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</si>
  <si>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</si>
  <si>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</si>
  <si>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</si>
  <si>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</si>
  <si>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</si>
  <si>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</si>
  <si>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</si>
  <si>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</si>
  <si>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</si>
  <si>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</si>
  <si>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</si>
  <si>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</si>
  <si>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</si>
  <si>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</si>
  <si>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</si>
  <si>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</si>
  <si>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</si>
  <si>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</si>
  <si>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</si>
  <si>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</si>
  <si>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</si>
  <si>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</si>
  <si>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</si>
  <si>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</si>
  <si>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</si>
  <si>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</si>
  <si>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</si>
  <si>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</si>
  <si>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</si>
  <si>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</si>
  <si>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</si>
  <si>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</si>
  <si>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</si>
  <si>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</si>
  <si>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</si>
  <si>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</si>
  <si>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</si>
  <si>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</si>
  <si>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</si>
  <si>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</si>
  <si>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</si>
  <si>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</si>
  <si>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</si>
  <si>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</si>
  <si>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</si>
  <si>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</si>
  <si>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</si>
  <si>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</si>
  <si>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</si>
  <si>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</si>
  <si>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</si>
  <si>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</si>
  <si>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</si>
  <si>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</si>
  <si>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</si>
  <si>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</si>
  <si>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</si>
  <si>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</si>
  <si>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</si>
  <si>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</si>
  <si>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</si>
  <si>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</si>
  <si>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</si>
  <si>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</si>
  <si>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</si>
  <si>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</si>
  <si>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</si>
  <si>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</si>
  <si>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</si>
  <si>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</si>
  <si>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</si>
  <si>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</si>
  <si>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</si>
  <si>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</si>
  <si>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</si>
  <si>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</si>
  <si>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</si>
  <si>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</si>
  <si>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</si>
  <si>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</si>
  <si>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</si>
  <si>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</si>
  <si>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</si>
  <si>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</si>
  <si>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</si>
  <si>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</si>
  <si>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</si>
  <si>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</si>
  <si>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</si>
  <si>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</si>
  <si>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</si>
  <si>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</si>
  <si>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</si>
  <si>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</si>
  <si>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</si>
  <si>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</si>
  <si>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</si>
  <si>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</si>
  <si>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</si>
  <si>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</si>
  <si>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</si>
  <si>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</si>
  <si>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</si>
  <si>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</si>
  <si>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</si>
  <si>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</si>
  <si>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</si>
  <si>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</si>
  <si>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</si>
  <si>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</si>
  <si>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</si>
  <si>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</si>
  <si>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</si>
  <si>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</si>
  <si>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</si>
  <si>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</si>
  <si>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</si>
  <si>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</si>
  <si>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</si>
  <si>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</si>
  <si>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</si>
  <si>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</si>
  <si>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</si>
  <si>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</si>
  <si>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</si>
  <si>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</si>
  <si>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</si>
  <si>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</si>
  <si>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</si>
  <si>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</si>
  <si>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</si>
  <si>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</si>
  <si>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</si>
  <si>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</si>
  <si>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</si>
  <si>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</si>
  <si>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</si>
  <si>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</si>
  <si>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</si>
  <si>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</si>
  <si>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</si>
  <si>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</si>
  <si>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</si>
  <si>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</si>
  <si>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</si>
  <si>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</si>
  <si>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</si>
  <si>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</si>
  <si>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</si>
  <si>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</si>
  <si>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</si>
  <si>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</si>
  <si>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省略</t>
    <rPh sb="0" eb="2">
      <t>ショウリャク</t>
    </rPh>
    <phoneticPr fontId="2"/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</si>
  <si>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</si>
  <si>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</si>
  <si>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</si>
  <si>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</si>
  <si>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</si>
  <si>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</si>
  <si>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</si>
  <si>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</si>
  <si>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</si>
  <si>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</si>
  <si>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</si>
  <si>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</si>
  <si>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</si>
  <si>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</si>
  <si>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</si>
  <si>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</si>
  <si>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</si>
  <si>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</si>
  <si>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</si>
  <si>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</si>
  <si>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</si>
  <si>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</si>
  <si>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</si>
  <si>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</si>
  <si>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</si>
  <si>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</si>
  <si>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</si>
  <si>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</si>
  <si>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</si>
  <si>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</si>
  <si>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</si>
  <si>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</si>
  <si>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</si>
  <si>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</si>
  <si>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</si>
  <si>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</si>
  <si>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</si>
  <si>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</si>
  <si>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</si>
  <si>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</si>
  <si>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</si>
  <si>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</si>
  <si>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</si>
  <si>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</si>
  <si>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</si>
  <si>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</si>
  <si>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</si>
  <si>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</si>
  <si>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</si>
  <si>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</si>
  <si>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</si>
  <si>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</si>
  <si>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</si>
  <si>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</si>
  <si>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</si>
  <si>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</si>
  <si>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</si>
  <si>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</si>
  <si>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</si>
  <si>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</si>
  <si>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</si>
  <si>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</si>
  <si>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</si>
  <si>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</si>
  <si>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</si>
  <si>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</si>
  <si>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</si>
  <si>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</si>
  <si>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</si>
  <si>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</si>
  <si>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</si>
  <si>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</si>
  <si>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</si>
  <si>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</si>
  <si>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</si>
  <si>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</si>
  <si>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</si>
  <si>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</si>
  <si>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</si>
  <si>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</si>
  <si>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</si>
  <si>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</si>
  <si>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</si>
  <si>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</si>
  <si>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</si>
  <si>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&amp;color=Blue</t>
  </si>
  <si>
    <t>&amp;bodyMaterial=Mahogany</t>
  </si>
  <si>
    <t>&amp;name=player</t>
  </si>
  <si>
    <t>&amp;minPrice=100000</t>
  </si>
  <si>
    <t>&amp;maxPrice=300000</t>
  </si>
  <si>
    <t>&amp;page=1</t>
  </si>
  <si>
    <t>&amp;pageSize=20</t>
  </si>
  <si>
    <t>?maker=Fender</t>
    <phoneticPr fontId="2"/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</si>
  <si>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</si>
  <si>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</si>
  <si>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GET /api/series</t>
  </si>
  <si>
    <t>GET /api/colors</t>
  </si>
  <si>
    <t>GET /api/body-materials</t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</si>
  <si>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</si>
  <si>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</si>
  <si>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</si>
  <si>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</si>
  <si>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</si>
  <si>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</si>
  <si>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</si>
  <si>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</si>
  <si>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</si>
  <si>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</si>
  <si>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</si>
  <si>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</si>
  <si>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</si>
  <si>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</si>
  <si>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</si>
  <si>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</si>
  <si>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</si>
  <si>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manufacturer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</si>
  <si>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</si>
  <si>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</si>
  <si>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</si>
  <si>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</si>
  <si>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</si>
  <si>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</si>
  <si>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</si>
  <si>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</si>
  <si>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GET /api/guitars/random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</si>
  <si>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</si>
  <si>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</si>
  <si>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</si>
  <si>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</si>
  <si>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</si>
  <si>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</si>
  <si>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</si>
  <si>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</si>
  <si>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</si>
  <si>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</si>
  <si>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</si>
  <si>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</si>
  <si>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</si>
  <si>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</si>
  <si>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Manufacturer { get; set; }</t>
  </si>
  <si>
    <t>public string? Series { get; set; }</t>
  </si>
  <si>
    <t>public string? Color { get; set; }</t>
  </si>
  <si>
    <t>public string? BodyMaterial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</si>
  <si>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</si>
  <si>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</si>
  <si>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</si>
  <si>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</si>
  <si>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</si>
  <si>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DTO案</t>
    <rPh sb="3" eb="4">
      <t>アン</t>
    </rPh>
    <phoneticPr fontId="2"/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</si>
  <si>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</si>
  <si>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</si>
  <si>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</si>
  <si>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</si>
  <si>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</si>
  <si>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</si>
  <si>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</si>
  <si>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</si>
  <si>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</si>
  <si>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</si>
  <si>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</si>
  <si>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manufacturer</t>
  </si>
  <si>
    <t>├─ name</t>
  </si>
  <si>
    <t>└─ createdAt</t>
  </si>
  <si>
    <t>と</t>
  </si>
  <si>
    <t>order</t>
  </si>
  <si>
    <t>├─ asc</t>
  </si>
  <si>
    <t>└─ desc</t>
  </si>
  <si>
    <t>を分ける？どうする？</t>
    <phoneticPr fontId="2"/>
  </si>
  <si>
    <t>エンドポイントイメージ</t>
    <phoneticPr fontId="2"/>
  </si>
  <si>
    <t>order(asc or desc)</t>
    <phoneticPr fontId="2"/>
  </si>
  <si>
    <t>GET /public/api/v1/guitars</t>
    <phoneticPr fontId="2"/>
  </si>
  <si>
    <t>"items": [...],</t>
  </si>
  <si>
    <t>"pageSize": 20,</t>
  </si>
  <si>
    <t>"totalPages": 215</t>
  </si>
  <si>
    <t>GET /api/maker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</si>
</sst>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64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6"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60"/>
  <sheetViews>
    <sheetView topLeftCell="A87" zoomScaleNormal="100" workbookViewId="0">
      <selection activeCell="C104" sqref="C104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1511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1512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1505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1506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1510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1507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1513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1509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1508</v>
      </c>
      <c r="C92" s="6" t="s">
        <v>1396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1395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1430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1395</v>
      </c>
      <c r="C94" s="8" t="s">
        <v>1290</v>
      </c>
      <c r="D94" s="8"/>
      <c r="E94" s="8">
        <v>2</v>
      </c>
      <c r="F94" s="8"/>
      <c r="G94" s="9">
        <v>0</v>
      </c>
      <c r="H94" s="9" t="s">
        <v>125</v>
      </c>
      <c r="I94" s="8" t="s">
        <v>1428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1395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1567</v>
      </c>
      <c r="K95" s="5" t="str">
        <f t="shared" si="11"/>
        <v>INSERT INTO m_code VALUES ('code009',3,'Gibson','','',0,0.0,'https://gibson.jp/');</v>
      </c>
    </row>
    <row r="96" spans="2:11">
      <c r="B96" s="8" t="s">
        <v>1395</v>
      </c>
      <c r="C96" s="8" t="s">
        <v>1553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J96" s="5" t="s">
        <v>1554</v>
      </c>
      <c r="K96" s="5" t="str">
        <f t="shared" si="11"/>
        <v>INSERT INTO m_code VALUES ('code009',4,'.strandberg','','',0,0.0,'https://strandbergguitars.com/en-US/guitars');</v>
      </c>
    </row>
    <row r="97" spans="2:11">
      <c r="B97" s="8" t="s">
        <v>1395</v>
      </c>
      <c r="C97" s="8" t="s">
        <v>1299</v>
      </c>
      <c r="D97" s="8"/>
      <c r="E97" s="8">
        <v>5</v>
      </c>
      <c r="F97" s="8"/>
      <c r="G97" s="9">
        <v>0</v>
      </c>
      <c r="H97" s="9" t="s">
        <v>125</v>
      </c>
      <c r="I97" s="8" t="s">
        <v>1300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1395</v>
      </c>
      <c r="C98" s="8" t="s">
        <v>1551</v>
      </c>
      <c r="D98" s="8"/>
      <c r="E98" s="8">
        <v>6</v>
      </c>
      <c r="F98" s="8"/>
      <c r="G98" s="9">
        <v>0</v>
      </c>
      <c r="H98" s="9" t="s">
        <v>125</v>
      </c>
      <c r="I98" s="8" t="s">
        <v>1552</v>
      </c>
      <c r="K98" s="5" t="str">
        <f t="shared" si="12"/>
        <v>INSERT INTO m_code VALUES ('code009',6,'ESP signature','','',0,0.0,'https://espguitars.co.jp/signatureseries/');</v>
      </c>
    </row>
    <row r="99" spans="2:11">
      <c r="B99" s="8" t="s">
        <v>1395</v>
      </c>
      <c r="C99" s="8" t="s">
        <v>1556</v>
      </c>
      <c r="D99" s="8"/>
      <c r="E99" s="8">
        <v>7</v>
      </c>
      <c r="F99" s="8"/>
      <c r="G99" s="9">
        <v>0</v>
      </c>
      <c r="H99" s="9" t="s">
        <v>125</v>
      </c>
      <c r="I99" s="8" t="s">
        <v>1561</v>
      </c>
      <c r="K99" s="5" t="str">
        <f t="shared" si="12"/>
        <v>INSERT INTO m_code VALUES ('code009',7,'Ibanez','','',0,0.0,'https://www.ibanez.com/jp/');</v>
      </c>
    </row>
    <row r="100" spans="2:11">
      <c r="B100" s="8" t="s">
        <v>1395</v>
      </c>
      <c r="C100" s="8" t="s">
        <v>1557</v>
      </c>
      <c r="D100" s="8"/>
      <c r="E100" s="8">
        <v>8</v>
      </c>
      <c r="F100" s="8"/>
      <c r="G100" s="9">
        <v>0</v>
      </c>
      <c r="H100" s="9" t="s">
        <v>125</v>
      </c>
      <c r="I100" s="8" t="s">
        <v>1562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('code009',8,'PRS','','',0,0.0,'https://www.prsguitars.jp/products');</v>
      </c>
    </row>
    <row r="101" spans="2:11">
      <c r="B101" s="8" t="s">
        <v>1395</v>
      </c>
      <c r="C101" s="8" t="s">
        <v>1558</v>
      </c>
      <c r="D101" s="8"/>
      <c r="E101" s="8">
        <v>9</v>
      </c>
      <c r="F101" s="8"/>
      <c r="G101" s="9">
        <v>0</v>
      </c>
      <c r="H101" s="9" t="s">
        <v>125</v>
      </c>
      <c r="I101" s="8" t="s">
        <v>1563</v>
      </c>
      <c r="K101" s="5" t="str">
        <f t="shared" si="13"/>
        <v>INSERT INTO m_code VALUES ('code009',9,'Suhr','','',0,0.0,'https://www.suhr.com/suhr-custom-gallery/');</v>
      </c>
    </row>
    <row r="102" spans="2:11">
      <c r="B102" s="8" t="s">
        <v>1395</v>
      </c>
      <c r="C102" s="8" t="s">
        <v>1559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1564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('code009',10,'MusicMan','','',0,0.0,'https://www.music-man.com/instruments/guitars');</v>
      </c>
    </row>
    <row r="103" spans="2:11">
      <c r="B103" s="8" t="s">
        <v>1395</v>
      </c>
      <c r="C103" s="8" t="s">
        <v>1583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1565</v>
      </c>
      <c r="K103" s="5" t="str">
        <f t="shared" si="14"/>
        <v>INSERT INTO m_code VALUES ('code009',11,'ZEMAITIS','','',0,0.0,'https://www.zemaitis-guitars.jp/electrics/');</v>
      </c>
    </row>
    <row r="104" spans="2:11">
      <c r="B104" s="8" t="s">
        <v>1395</v>
      </c>
      <c r="C104" s="8" t="s">
        <v>1560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1566</v>
      </c>
      <c r="K104" s="5" t="str">
        <f t="shared" si="14"/>
        <v>INSERT INTO m_code VALUES ('code009',12,'Momose','','',0,0.0,'https://www.deviser.co.jp/momose');</v>
      </c>
    </row>
    <row r="105" spans="2:11">
      <c r="B105" s="6" t="s">
        <v>1555</v>
      </c>
      <c r="C105" s="6" t="s">
        <v>1398</v>
      </c>
      <c r="D105" s="6" t="s">
        <v>1126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1427</v>
      </c>
      <c r="C106" s="8" t="s">
        <v>1435</v>
      </c>
      <c r="D106" s="8"/>
      <c r="E106" s="8">
        <v>0</v>
      </c>
      <c r="F106" s="8" t="s">
        <v>1434</v>
      </c>
      <c r="G106" s="9">
        <v>0</v>
      </c>
      <c r="H106" s="9" t="s">
        <v>125</v>
      </c>
      <c r="I106" s="8"/>
      <c r="K106" s="5" t="str">
        <f t="shared" ref="K106:K142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('code010',0,'Unknown','','？？',0,0.0,'');</v>
      </c>
    </row>
    <row r="107" spans="2:11">
      <c r="B107" s="8" t="s">
        <v>1427</v>
      </c>
      <c r="C107" s="8" t="s">
        <v>1436</v>
      </c>
      <c r="D107" s="8"/>
      <c r="E107" s="8">
        <v>1</v>
      </c>
      <c r="F107" s="8" t="s">
        <v>1450</v>
      </c>
      <c r="G107" s="9">
        <v>0</v>
      </c>
      <c r="H107" s="9" t="s">
        <v>125</v>
      </c>
      <c r="I107" s="8" t="s">
        <v>1474</v>
      </c>
      <c r="K107" s="5" t="str">
        <f t="shared" si="15"/>
        <v>INSERT INTO m_code VALUES ('code010',1,'HardMaple','','ハードメイプル',0,0.0,'硬質でタイト、明瞭なアタック。');</v>
      </c>
    </row>
    <row r="108" spans="2:11">
      <c r="B108" s="8" t="s">
        <v>1427</v>
      </c>
      <c r="C108" s="8" t="s">
        <v>1437</v>
      </c>
      <c r="D108" s="8"/>
      <c r="E108" s="8">
        <v>2</v>
      </c>
      <c r="F108" s="8" t="s">
        <v>1451</v>
      </c>
      <c r="G108" s="9">
        <v>0</v>
      </c>
      <c r="H108" s="9" t="s">
        <v>125</v>
      </c>
      <c r="I108" s="8" t="s">
        <v>1475</v>
      </c>
      <c r="K108" s="5" t="str">
        <f t="shared" si="15"/>
        <v>INSERT INTO m_code VALUES ('code010',2,'FlameMaple','','フレイムメイプル',0,0.0,'明るく抜けが良く、華やかな倍音。');</v>
      </c>
    </row>
    <row r="109" spans="2:11">
      <c r="B109" s="8" t="s">
        <v>1427</v>
      </c>
      <c r="C109" s="8" t="s">
        <v>1438</v>
      </c>
      <c r="D109" s="8"/>
      <c r="E109" s="8">
        <v>3</v>
      </c>
      <c r="F109" s="8" t="s">
        <v>1452</v>
      </c>
      <c r="G109" s="9">
        <v>0</v>
      </c>
      <c r="H109" s="9" t="s">
        <v>125</v>
      </c>
      <c r="I109" s="8" t="s">
        <v>1476</v>
      </c>
      <c r="K109" s="5" t="str">
        <f t="shared" si="15"/>
        <v>INSERT INTO m_code VALUES ('code010',3,'QuiltedMaple','','キルテッドメイプル',0,0.0,'立体的で広がりがあり、煌びやかな響き。');</v>
      </c>
    </row>
    <row r="110" spans="2:11">
      <c r="B110" s="8" t="s">
        <v>1427</v>
      </c>
      <c r="C110" s="8" t="s">
        <v>1439</v>
      </c>
      <c r="D110" s="8"/>
      <c r="E110" s="8">
        <v>4</v>
      </c>
      <c r="F110" s="8" t="s">
        <v>1453</v>
      </c>
      <c r="G110" s="9">
        <v>0</v>
      </c>
      <c r="H110" s="9" t="s">
        <v>125</v>
      </c>
      <c r="I110" s="8" t="s">
        <v>1477</v>
      </c>
      <c r="K110" s="5" t="str">
        <f t="shared" si="15"/>
        <v>INSERT INTO m_code VALUES ('code010',4,'BirdseyeMaple','','バーズアイメイプル',0,0.0,'粒立ちが良く、明るくシャープ。');</v>
      </c>
    </row>
    <row r="111" spans="2:11">
      <c r="B111" s="8" t="s">
        <v>1427</v>
      </c>
      <c r="C111" s="8" t="s">
        <v>1440</v>
      </c>
      <c r="D111" s="8"/>
      <c r="E111" s="8">
        <v>5</v>
      </c>
      <c r="F111" s="8" t="s">
        <v>1454</v>
      </c>
      <c r="G111" s="9">
        <v>0</v>
      </c>
      <c r="H111" s="9" t="s">
        <v>125</v>
      </c>
      <c r="I111" s="8" t="s">
        <v>1478</v>
      </c>
      <c r="K111" s="5" t="str">
        <f t="shared" si="15"/>
        <v>INSERT INTO m_code VALUES ('code010',5,'RoastedMaple','','ローステッドメイプル',0,0.0,'引き締まったタイトな音で反応が速い。');</v>
      </c>
    </row>
    <row r="112" spans="2:11">
      <c r="B112" s="8" t="s">
        <v>1427</v>
      </c>
      <c r="C112" s="8" t="s">
        <v>1399</v>
      </c>
      <c r="D112" s="8"/>
      <c r="E112" s="8">
        <v>6</v>
      </c>
      <c r="F112" s="8" t="s">
        <v>1449</v>
      </c>
      <c r="G112" s="9">
        <v>0</v>
      </c>
      <c r="H112" s="9" t="s">
        <v>125</v>
      </c>
      <c r="I112" s="8" t="s">
        <v>1473</v>
      </c>
      <c r="K112" s="5" t="str">
        <f t="shared" si="15"/>
        <v>INSERT INTO m_code VALUES ('code010',6,'Maple','','メイプル',0,0.0,'明るくハリがあり、アタックが強い。');</v>
      </c>
    </row>
    <row r="113" spans="2:11">
      <c r="B113" s="8" t="s">
        <v>1427</v>
      </c>
      <c r="C113" s="8" t="s">
        <v>1441</v>
      </c>
      <c r="D113" s="8"/>
      <c r="E113" s="8">
        <v>7</v>
      </c>
      <c r="F113" s="8" t="s">
        <v>1455</v>
      </c>
      <c r="G113" s="9">
        <v>0</v>
      </c>
      <c r="H113" s="9" t="s">
        <v>125</v>
      </c>
      <c r="I113" s="8" t="s">
        <v>1480</v>
      </c>
      <c r="K113" s="5" t="str">
        <f t="shared" si="15"/>
        <v>INSERT INTO m_code VALUES ('code010',7,'HonduranMahogany','','ホンジュラスマホガニー',0,0.0,'深みがあり、太くリッチな中低域。');</v>
      </c>
    </row>
    <row r="114" spans="2:11">
      <c r="B114" s="8" t="s">
        <v>1427</v>
      </c>
      <c r="C114" s="8" t="s">
        <v>1400</v>
      </c>
      <c r="D114" s="8"/>
      <c r="E114" s="8">
        <v>8</v>
      </c>
      <c r="F114" s="8" t="s">
        <v>1418</v>
      </c>
      <c r="G114" s="9">
        <v>0</v>
      </c>
      <c r="H114" s="9" t="s">
        <v>125</v>
      </c>
      <c r="I114" s="8" t="s">
        <v>1479</v>
      </c>
      <c r="K114" s="5" t="str">
        <f t="shared" si="15"/>
        <v>INSERT INTO m_code VALUES ('code010',8,'Mahogany','','マホガニー',0,0.0,'中低域が豊かで温かい音。');</v>
      </c>
    </row>
    <row r="115" spans="2:11">
      <c r="B115" s="8" t="s">
        <v>1427</v>
      </c>
      <c r="C115" s="8" t="s">
        <v>1442</v>
      </c>
      <c r="D115" s="8"/>
      <c r="E115" s="8">
        <v>9</v>
      </c>
      <c r="F115" s="8" t="s">
        <v>1456</v>
      </c>
      <c r="G115" s="9">
        <v>0</v>
      </c>
      <c r="H115" s="9" t="s">
        <v>125</v>
      </c>
      <c r="I115" s="8" t="s">
        <v>1481</v>
      </c>
      <c r="K115" s="5" t="str">
        <f t="shared" si="15"/>
        <v>INSERT INTO m_code VALUES ('code010',9,'Sapele','','サペリ',0,0.0,'温かく柔らかいトーンでバランスが良い。');</v>
      </c>
    </row>
    <row r="116" spans="2:11">
      <c r="B116" s="8" t="s">
        <v>1427</v>
      </c>
      <c r="C116" s="8" t="s">
        <v>1407</v>
      </c>
      <c r="D116" s="8"/>
      <c r="E116" s="8">
        <v>10</v>
      </c>
      <c r="F116" s="8" t="s">
        <v>1457</v>
      </c>
      <c r="G116" s="9">
        <v>0</v>
      </c>
      <c r="H116" s="9" t="s">
        <v>125</v>
      </c>
      <c r="I116" s="8" t="s">
        <v>1482</v>
      </c>
      <c r="K116" s="5" t="str">
        <f t="shared" si="15"/>
        <v>INSERT INTO m_code VALUES ('code010',10,'Korina','','コリーナ',0,0.0,'中域が豊かで太い音。');</v>
      </c>
    </row>
    <row r="117" spans="2:11">
      <c r="B117" s="8" t="s">
        <v>1427</v>
      </c>
      <c r="C117" s="8" t="s">
        <v>1443</v>
      </c>
      <c r="D117" s="8"/>
      <c r="E117" s="8">
        <v>11</v>
      </c>
      <c r="F117" s="8" t="s">
        <v>1458</v>
      </c>
      <c r="G117" s="9">
        <v>0</v>
      </c>
      <c r="H117" s="9" t="s">
        <v>125</v>
      </c>
      <c r="I117" s="8" t="s">
        <v>1483</v>
      </c>
      <c r="K117" s="5" t="str">
        <f t="shared" si="15"/>
        <v>INSERT INTO m_code VALUES ('code010',11,'WhiteKorina','','ホワイトコリーナ',0,0.0,'明るく抜けが良く、軽快なレスポンス。');</v>
      </c>
    </row>
    <row r="118" spans="2:11">
      <c r="B118" s="8" t="s">
        <v>1427</v>
      </c>
      <c r="C118" s="8" t="s">
        <v>1401</v>
      </c>
      <c r="D118" s="8"/>
      <c r="E118" s="8">
        <v>12</v>
      </c>
      <c r="F118" s="8" t="s">
        <v>1419</v>
      </c>
      <c r="G118" s="9">
        <v>0</v>
      </c>
      <c r="H118" s="9" t="s">
        <v>125</v>
      </c>
      <c r="I118" s="8" t="s">
        <v>1484</v>
      </c>
      <c r="K118" s="5" t="str">
        <f t="shared" si="15"/>
        <v>INSERT INTO m_code VALUES ('code010',12,'Alder','','アルダー',0,0.0,'バランスが良くクセが少ない。');</v>
      </c>
    </row>
    <row r="119" spans="2:11">
      <c r="B119" s="8" t="s">
        <v>1427</v>
      </c>
      <c r="C119" s="8" t="s">
        <v>1402</v>
      </c>
      <c r="D119" s="8"/>
      <c r="E119" s="8">
        <v>13</v>
      </c>
      <c r="F119" s="8" t="s">
        <v>1459</v>
      </c>
      <c r="G119" s="9">
        <v>0</v>
      </c>
      <c r="H119" s="9" t="s">
        <v>125</v>
      </c>
      <c r="I119" s="8" t="s">
        <v>1485</v>
      </c>
      <c r="K119" s="5" t="str">
        <f t="shared" si="15"/>
        <v>INSERT INTO m_code VALUES ('code010',13,'Ash','','アッシュ',0,0.0,'明るく抜ける音でアタックが強い。');</v>
      </c>
    </row>
    <row r="120" spans="2:11">
      <c r="B120" s="8" t="s">
        <v>1427</v>
      </c>
      <c r="C120" s="8" t="s">
        <v>1403</v>
      </c>
      <c r="D120" s="8"/>
      <c r="E120" s="8">
        <v>14</v>
      </c>
      <c r="F120" s="8" t="s">
        <v>1460</v>
      </c>
      <c r="G120" s="9">
        <v>0</v>
      </c>
      <c r="H120" s="9" t="s">
        <v>125</v>
      </c>
      <c r="I120" s="8" t="s">
        <v>1486</v>
      </c>
      <c r="K120" s="5" t="str">
        <f t="shared" si="15"/>
        <v>INSERT INTO m_code VALUES ('code010',14,'Basswood','','バスウッド',0,0.0,'軽く柔らかく、ウォームで扱いやすい。');</v>
      </c>
    </row>
    <row r="121" spans="2:11">
      <c r="B121" s="8" t="s">
        <v>1427</v>
      </c>
      <c r="C121" s="8" t="s">
        <v>1412</v>
      </c>
      <c r="D121" s="8"/>
      <c r="E121" s="8">
        <v>15</v>
      </c>
      <c r="F121" s="8" t="s">
        <v>1461</v>
      </c>
      <c r="G121" s="9">
        <v>0</v>
      </c>
      <c r="H121" s="9" t="s">
        <v>125</v>
      </c>
      <c r="I121" s="8" t="s">
        <v>1487</v>
      </c>
      <c r="K121" s="5" t="str">
        <f t="shared" si="15"/>
        <v>INSERT INTO m_code VALUES ('code010',15,'Poplar','','ポプラ',0,0.0,'軽く素直でクセが少ない。');</v>
      </c>
    </row>
    <row r="122" spans="2:11">
      <c r="B122" s="8" t="s">
        <v>1427</v>
      </c>
      <c r="C122" s="8" t="s">
        <v>1408</v>
      </c>
      <c r="D122" s="8"/>
      <c r="E122" s="8">
        <v>16</v>
      </c>
      <c r="F122" s="8" t="s">
        <v>1462</v>
      </c>
      <c r="G122" s="9">
        <v>0</v>
      </c>
      <c r="H122" s="9" t="s">
        <v>125</v>
      </c>
      <c r="I122" s="8" t="s">
        <v>1488</v>
      </c>
      <c r="K122" s="5" t="str">
        <f t="shared" si="15"/>
        <v>INSERT INTO m_code VALUES ('code010',16,'Spruce','','スプルース',0,0.0,'軽く響きが良く、明るいトーン。');</v>
      </c>
    </row>
    <row r="123" spans="2:11">
      <c r="B123" s="8" t="s">
        <v>1427</v>
      </c>
      <c r="C123" s="8" t="s">
        <v>1409</v>
      </c>
      <c r="D123" s="8"/>
      <c r="E123" s="8">
        <v>17</v>
      </c>
      <c r="F123" s="8" t="s">
        <v>1463</v>
      </c>
      <c r="G123" s="9">
        <v>0</v>
      </c>
      <c r="H123" s="9" t="s">
        <v>125</v>
      </c>
      <c r="I123" s="8" t="s">
        <v>1489</v>
      </c>
      <c r="K123" s="5" t="str">
        <f t="shared" si="15"/>
        <v>INSERT INTO m_code VALUES ('code010',17,'Cedar','','シダー',0,0.0,'柔らかく温かい音。');</v>
      </c>
    </row>
    <row r="124" spans="2:11">
      <c r="B124" s="8" t="s">
        <v>1427</v>
      </c>
      <c r="C124" s="8" t="s">
        <v>1444</v>
      </c>
      <c r="D124" s="8"/>
      <c r="E124" s="8">
        <v>18</v>
      </c>
      <c r="F124" s="8" t="s">
        <v>1465</v>
      </c>
      <c r="G124" s="9">
        <v>0</v>
      </c>
      <c r="H124" s="9" t="s">
        <v>125</v>
      </c>
      <c r="I124" s="8" t="s">
        <v>1491</v>
      </c>
      <c r="K124" s="5" t="str">
        <f t="shared" si="15"/>
        <v>INSERT INTO m_code VALUES ('code010',18,'IndianRosewood','','インディアンローズウッド',0,0.0,'甘く深みがあり、豊かな中低域。');</v>
      </c>
    </row>
    <row r="125" spans="2:11">
      <c r="B125" s="8" t="s">
        <v>1427</v>
      </c>
      <c r="C125" s="8" t="s">
        <v>1445</v>
      </c>
      <c r="D125" s="8"/>
      <c r="E125" s="8">
        <v>19</v>
      </c>
      <c r="F125" s="8" t="s">
        <v>1466</v>
      </c>
      <c r="G125" s="9">
        <v>0</v>
      </c>
      <c r="H125" s="9" t="s">
        <v>125</v>
      </c>
      <c r="I125" s="8" t="s">
        <v>1492</v>
      </c>
      <c r="K125" s="5" t="str">
        <f t="shared" si="15"/>
        <v>INSERT INTO m_code VALUES ('code010',19,'BrazilianRosewood','','ブラジリアンローズウッド',0,0.0,'濃厚で深いトーン、豊かな倍音。');</v>
      </c>
    </row>
    <row r="126" spans="2:11">
      <c r="B126" s="8" t="s">
        <v>1427</v>
      </c>
      <c r="C126" s="8" t="s">
        <v>1404</v>
      </c>
      <c r="D126" s="8"/>
      <c r="E126" s="8">
        <v>20</v>
      </c>
      <c r="F126" s="8" t="s">
        <v>1464</v>
      </c>
      <c r="G126" s="9">
        <v>0</v>
      </c>
      <c r="H126" s="9" t="s">
        <v>125</v>
      </c>
      <c r="I126" s="8" t="s">
        <v>1490</v>
      </c>
      <c r="K126" s="5" t="str">
        <f t="shared" si="15"/>
        <v>INSERT INTO m_code VALUES ('code010',20,'Rosewood','','ローズウッド',0,0.0,'甘く丸い音で中域が豊か。');</v>
      </c>
    </row>
    <row r="127" spans="2:11">
      <c r="B127" s="8" t="s">
        <v>1427</v>
      </c>
      <c r="C127" s="8" t="s">
        <v>1446</v>
      </c>
      <c r="D127" s="8"/>
      <c r="E127" s="8">
        <v>21</v>
      </c>
      <c r="F127" s="8" t="s">
        <v>1420</v>
      </c>
      <c r="G127" s="9">
        <v>0</v>
      </c>
      <c r="H127" s="9" t="s">
        <v>125</v>
      </c>
      <c r="I127" s="8" t="s">
        <v>1493</v>
      </c>
      <c r="K127" s="5" t="str">
        <f t="shared" si="15"/>
        <v>INSERT INTO m_code VALUES ('code010',21,'PauFerro','','パーフェロー',0,0.0,'明るく硬質でタイトな音。');</v>
      </c>
    </row>
    <row r="128" spans="2:11">
      <c r="B128" s="8" t="s">
        <v>1427</v>
      </c>
      <c r="C128" s="8" t="s">
        <v>1410</v>
      </c>
      <c r="D128" s="8"/>
      <c r="E128" s="8">
        <v>22</v>
      </c>
      <c r="F128" s="8" t="s">
        <v>1421</v>
      </c>
      <c r="G128" s="9">
        <v>0</v>
      </c>
      <c r="H128" s="9" t="s">
        <v>125</v>
      </c>
      <c r="I128" s="8" t="s">
        <v>1494</v>
      </c>
      <c r="K128" s="5" t="str">
        <f t="shared" si="15"/>
        <v>INSERT INTO m_code VALUES ('code010',22,'Ovangkol','','オバンコール',0,0.0,'中域が豊かで温かいトーン。');</v>
      </c>
    </row>
    <row r="129" spans="2:11">
      <c r="B129" s="8" t="s">
        <v>1427</v>
      </c>
      <c r="C129" s="8" t="s">
        <v>1405</v>
      </c>
      <c r="D129" s="8"/>
      <c r="E129" s="8">
        <v>23</v>
      </c>
      <c r="F129" s="8" t="s">
        <v>1467</v>
      </c>
      <c r="G129" s="9">
        <v>0</v>
      </c>
      <c r="H129" s="9" t="s">
        <v>125</v>
      </c>
      <c r="I129" s="8" t="s">
        <v>1495</v>
      </c>
      <c r="K129" s="5" t="str">
        <f t="shared" si="15"/>
        <v>INSERT INTO m_code VALUES ('code010',23,'Ebony','','エボニー',0,0.0,'硬くタイトで高域がクリア。');</v>
      </c>
    </row>
    <row r="130" spans="2:11">
      <c r="B130" s="8" t="s">
        <v>1427</v>
      </c>
      <c r="C130" s="8" t="s">
        <v>1406</v>
      </c>
      <c r="D130" s="8"/>
      <c r="E130" s="8">
        <v>24</v>
      </c>
      <c r="F130" s="8" t="s">
        <v>1468</v>
      </c>
      <c r="G130" s="9">
        <v>0</v>
      </c>
      <c r="H130" s="9" t="s">
        <v>125</v>
      </c>
      <c r="I130" s="8" t="s">
        <v>1426</v>
      </c>
      <c r="K130" s="5" t="str">
        <f t="shared" si="15"/>
        <v>INSERT INTO m_code VALUES ('code010',24,'Walnut','','ウォルナット',0,0.0,'中域が豊かで落ち着いたトーン。');</v>
      </c>
    </row>
    <row r="131" spans="2:11">
      <c r="B131" s="8" t="s">
        <v>1427</v>
      </c>
      <c r="C131" s="8" t="s">
        <v>1447</v>
      </c>
      <c r="D131" s="8"/>
      <c r="E131" s="8">
        <v>25</v>
      </c>
      <c r="F131" s="8" t="s">
        <v>1469</v>
      </c>
      <c r="G131" s="9">
        <v>0</v>
      </c>
      <c r="H131" s="9" t="s">
        <v>125</v>
      </c>
      <c r="I131" s="8" t="s">
        <v>1496</v>
      </c>
      <c r="K131" s="5" t="str">
        <f t="shared" si="15"/>
        <v>INSERT INTO m_code VALUES ('code010',25,'Padauk','','パドゥーク',0,0.0,'明るく抜けが良く、個性的な響き。');</v>
      </c>
    </row>
    <row r="132" spans="2:11">
      <c r="B132" s="8" t="s">
        <v>1427</v>
      </c>
      <c r="C132" s="8" t="s">
        <v>1411</v>
      </c>
      <c r="D132" s="8"/>
      <c r="E132" s="8">
        <v>26</v>
      </c>
      <c r="F132" s="8" t="s">
        <v>1470</v>
      </c>
      <c r="G132" s="9">
        <v>0</v>
      </c>
      <c r="H132" s="9" t="s">
        <v>125</v>
      </c>
      <c r="I132" s="8" t="s">
        <v>1497</v>
      </c>
      <c r="K132" s="5" t="str">
        <f t="shared" si="15"/>
        <v>INSERT INTO m_code VALUES ('code010',26,'Koa','','コア',0,0.0,'明るく華やかで軽快。');</v>
      </c>
    </row>
    <row r="133" spans="2:11">
      <c r="B133" s="8" t="s">
        <v>1427</v>
      </c>
      <c r="C133" s="8" t="s">
        <v>1413</v>
      </c>
      <c r="D133" s="8"/>
      <c r="E133" s="8">
        <v>27</v>
      </c>
      <c r="F133" s="8" t="s">
        <v>1471</v>
      </c>
      <c r="G133" s="9">
        <v>0</v>
      </c>
      <c r="H133" s="9" t="s">
        <v>125</v>
      </c>
      <c r="I133" s="8" t="s">
        <v>1498</v>
      </c>
      <c r="K133" s="5" t="str">
        <f t="shared" si="15"/>
        <v>INSERT INTO m_code VALUES ('code010',27,'Nato','','ナトー',0,0.0,'中低域が豊かで温かい。');</v>
      </c>
    </row>
    <row r="134" spans="2:11">
      <c r="B134" s="8" t="s">
        <v>1427</v>
      </c>
      <c r="C134" s="8" t="s">
        <v>1414</v>
      </c>
      <c r="D134" s="8"/>
      <c r="E134" s="8">
        <v>28</v>
      </c>
      <c r="F134" s="8" t="s">
        <v>1422</v>
      </c>
      <c r="G134" s="9">
        <v>0</v>
      </c>
      <c r="H134" s="9" t="s">
        <v>125</v>
      </c>
      <c r="I134" s="8" t="s">
        <v>1499</v>
      </c>
      <c r="K134" s="5" t="str">
        <f t="shared" si="15"/>
        <v>INSERT INTO m_code VALUES ('code010',28,'Agathis','','アガチス',0,0.0,'柔らかくウォームで素直。');</v>
      </c>
    </row>
    <row r="135" spans="2:11">
      <c r="B135" s="8" t="s">
        <v>1427</v>
      </c>
      <c r="C135" s="8" t="s">
        <v>1415</v>
      </c>
      <c r="D135" s="8"/>
      <c r="E135" s="8">
        <v>29</v>
      </c>
      <c r="F135" s="8" t="s">
        <v>1423</v>
      </c>
      <c r="G135" s="9">
        <v>0</v>
      </c>
      <c r="H135" s="9" t="s">
        <v>125</v>
      </c>
      <c r="I135" s="8" t="s">
        <v>1500</v>
      </c>
      <c r="K135" s="5" t="str">
        <f t="shared" si="15"/>
        <v>INSERT INTO m_code VALUES ('code010',29,'Bubinga','','ブビンガ',0,0.0,'重く硬質でサスティンが長い。');</v>
      </c>
    </row>
    <row r="136" spans="2:11">
      <c r="B136" s="8" t="s">
        <v>1427</v>
      </c>
      <c r="C136" s="8" t="s">
        <v>1416</v>
      </c>
      <c r="D136" s="8"/>
      <c r="E136" s="8">
        <v>30</v>
      </c>
      <c r="F136" s="8" t="s">
        <v>1424</v>
      </c>
      <c r="G136" s="9">
        <v>0</v>
      </c>
      <c r="H136" s="9" t="s">
        <v>125</v>
      </c>
      <c r="I136" s="8" t="s">
        <v>1501</v>
      </c>
      <c r="K136" s="5" t="str">
        <f t="shared" si="15"/>
        <v>INSERT INTO m_code VALUES ('code010',30,'Wenge','','ウェンジ',0,0.0,'非常に硬くタイトで個性的。');</v>
      </c>
    </row>
    <row r="137" spans="2:11">
      <c r="B137" s="8" t="s">
        <v>1427</v>
      </c>
      <c r="C137" s="8" t="s">
        <v>1417</v>
      </c>
      <c r="D137" s="8"/>
      <c r="E137" s="8">
        <v>31</v>
      </c>
      <c r="F137" s="8" t="s">
        <v>1425</v>
      </c>
      <c r="G137" s="9">
        <v>0</v>
      </c>
      <c r="H137" s="9" t="s">
        <v>125</v>
      </c>
      <c r="I137" s="8" t="s">
        <v>1502</v>
      </c>
      <c r="K137" s="5" t="str">
        <f t="shared" si="15"/>
        <v>INSERT INTO m_code VALUES ('code010',31,'Purpleheart','','パープルハート',0,0.0,'硬く鮮やかでアタックが強い。');</v>
      </c>
    </row>
    <row r="138" spans="2:11">
      <c r="B138" s="8" t="s">
        <v>1427</v>
      </c>
      <c r="C138" s="8" t="s">
        <v>1448</v>
      </c>
      <c r="D138" s="8"/>
      <c r="E138" s="8">
        <v>32</v>
      </c>
      <c r="F138" s="8" t="s">
        <v>1472</v>
      </c>
      <c r="G138" s="9">
        <v>0</v>
      </c>
      <c r="H138" s="9" t="s">
        <v>125</v>
      </c>
      <c r="I138" s="8" t="s">
        <v>1503</v>
      </c>
      <c r="K138" s="5" t="str">
        <f t="shared" si="15"/>
        <v>INSERT INTO m_code VALUES ('code010',32,'Zebrawood','','ゼブラウッド',0,0.0,'明るく硬質でクセのあるトーン。');</v>
      </c>
    </row>
    <row r="139" spans="2:11">
      <c r="B139" s="8" t="s">
        <v>1427</v>
      </c>
      <c r="C139" s="8" t="s">
        <v>1571</v>
      </c>
      <c r="D139" s="8"/>
      <c r="E139" s="8">
        <v>33</v>
      </c>
      <c r="F139" s="8" t="s">
        <v>1572</v>
      </c>
      <c r="G139" s="9">
        <v>0</v>
      </c>
      <c r="H139" s="9" t="s">
        <v>125</v>
      </c>
      <c r="I139" s="8" t="s">
        <v>1573</v>
      </c>
      <c r="K139" s="5" t="str">
        <f t="shared" si="15"/>
        <v>INSERT INTO m_code VALUES ('code010',33,'Okoume','','オクメ',0,0.0,'マホガニーに近く、中低域が豊かで軽量。');</v>
      </c>
    </row>
    <row r="140" spans="2:11">
      <c r="B140" s="8" t="s">
        <v>1427</v>
      </c>
      <c r="C140" s="8" t="s">
        <v>1575</v>
      </c>
      <c r="D140" s="8"/>
      <c r="E140" s="8">
        <v>34</v>
      </c>
      <c r="F140" s="8" t="s">
        <v>1574</v>
      </c>
      <c r="G140" s="9">
        <v>0</v>
      </c>
      <c r="H140" s="9" t="s">
        <v>125</v>
      </c>
      <c r="I140" s="8" t="s">
        <v>1576</v>
      </c>
      <c r="K140" s="5" t="str">
        <f t="shared" ref="K140" si="16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('code010',34,'Meranti','','メランティ',0,0.0,'中域寄りで温かめ、マホガニー系に近い。');</v>
      </c>
    </row>
    <row r="141" spans="2:11">
      <c r="B141" s="8" t="s">
        <v>1427</v>
      </c>
      <c r="C141" s="8" t="s">
        <v>1577</v>
      </c>
      <c r="D141" s="8"/>
      <c r="E141" s="8">
        <v>35</v>
      </c>
      <c r="F141" s="8" t="s">
        <v>1578</v>
      </c>
      <c r="G141" s="9">
        <v>0</v>
      </c>
      <c r="H141" s="9" t="s">
        <v>125</v>
      </c>
      <c r="I141" s="8" t="s">
        <v>1582</v>
      </c>
      <c r="K141" s="5" t="str">
        <f t="shared" ref="K141" si="17">"INSERT INTO m_code VALUES ("&amp;"'"&amp;B141&amp;"'"&amp;","&amp;E141&amp;","&amp;"'"&amp;C141&amp;"'"&amp;","&amp;"'"&amp;D141&amp;"'"&amp;","&amp;"'"&amp;F141&amp;"'"&amp;","&amp;G141&amp;","&amp;H141&amp;","&amp;"'"&amp;I141&amp;"'"&amp;");"</f>
        <v>INSERT INTO m_code VALUES ('code010',35,'Sakura','','サクラ',0,0.0,'中高域が明るく立ち上がりが速い、日本らしい軽快で抜けの良いサウンド。');</v>
      </c>
    </row>
    <row r="142" spans="2:11">
      <c r="B142" s="8" t="s">
        <v>1427</v>
      </c>
      <c r="C142" s="8" t="s">
        <v>1579</v>
      </c>
      <c r="D142" s="8"/>
      <c r="E142" s="8">
        <v>36</v>
      </c>
      <c r="F142" s="8" t="s">
        <v>1580</v>
      </c>
      <c r="G142" s="9">
        <v>0</v>
      </c>
      <c r="H142" s="9" t="s">
        <v>125</v>
      </c>
      <c r="I142" s="8" t="s">
        <v>1581</v>
      </c>
      <c r="K142" s="5" t="str">
        <f t="shared" si="15"/>
        <v>INSERT INTO m_code VALUES ('code010',36,'Tochi','','トチ',0,0.0,'メイプルに近いクリアさと華やかさを持ちつつ、やや柔らかく豊かな倍音.');</v>
      </c>
    </row>
    <row r="143" spans="2:11">
      <c r="B143" s="8" t="s">
        <v>1427</v>
      </c>
      <c r="C143" s="8" t="s">
        <v>1504</v>
      </c>
      <c r="D143" s="8"/>
      <c r="E143" s="8">
        <v>99</v>
      </c>
      <c r="F143" s="8" t="s">
        <v>1504</v>
      </c>
      <c r="G143" s="9">
        <v>0</v>
      </c>
      <c r="H143" s="9" t="s">
        <v>125</v>
      </c>
      <c r="I143" s="8"/>
      <c r="K143" s="5" t="str">
        <f t="shared" ref="K143:K160" si="18">"INSERT INTO m_code VALUES ("&amp;"'"&amp;B143&amp;"'"&amp;","&amp;E143&amp;","&amp;"'"&amp;C143&amp;"'"&amp;","&amp;"'"&amp;D143&amp;"'"&amp;","&amp;"'"&amp;F143&amp;"'"&amp;","&amp;G143&amp;","&amp;H143&amp;","&amp;"'"&amp;I143&amp;"'"&amp;");"</f>
        <v>INSERT INTO m_code VALUES ('code010',99,'省略','','省略',0,0.0,'');</v>
      </c>
    </row>
    <row r="144" spans="2:11">
      <c r="B144" s="6" t="s">
        <v>1515</v>
      </c>
      <c r="C144" s="6" t="s">
        <v>1514</v>
      </c>
      <c r="D144" s="6" t="s">
        <v>1126</v>
      </c>
      <c r="E144" s="7" t="s">
        <v>123</v>
      </c>
      <c r="F144" s="6" t="s">
        <v>120</v>
      </c>
      <c r="G144" s="6" t="s">
        <v>121</v>
      </c>
      <c r="H144" s="6" t="s">
        <v>122</v>
      </c>
      <c r="I144" s="6" t="s">
        <v>133</v>
      </c>
    </row>
    <row r="145" spans="2:11">
      <c r="B145" s="8" t="s">
        <v>1532</v>
      </c>
      <c r="C145" s="8" t="s">
        <v>1516</v>
      </c>
      <c r="D145" s="8"/>
      <c r="E145" s="8">
        <v>1</v>
      </c>
      <c r="F145" s="8" t="s">
        <v>1533</v>
      </c>
      <c r="G145" s="9">
        <v>0</v>
      </c>
      <c r="H145" s="9" t="s">
        <v>125</v>
      </c>
      <c r="I145" s="8"/>
      <c r="K145" s="5" t="str">
        <f t="shared" si="18"/>
        <v>INSERT INTO m_code VALUES ('code011',1,'Red','','レッド',0,0.0,'');</v>
      </c>
    </row>
    <row r="146" spans="2:11">
      <c r="B146" s="8" t="s">
        <v>1532</v>
      </c>
      <c r="C146" s="8" t="s">
        <v>1530</v>
      </c>
      <c r="D146" s="8"/>
      <c r="E146" s="8">
        <v>2</v>
      </c>
      <c r="F146" s="8" t="s">
        <v>1534</v>
      </c>
      <c r="G146" s="9">
        <v>0</v>
      </c>
      <c r="H146" s="9" t="s">
        <v>125</v>
      </c>
      <c r="I146" s="8"/>
      <c r="K146" s="5" t="str">
        <f t="shared" si="18"/>
        <v>INSERT INTO m_code VALUES ('code011',2,'Pink','','ピンク',0,0.0,'');</v>
      </c>
    </row>
    <row r="147" spans="2:11">
      <c r="B147" s="8" t="s">
        <v>1532</v>
      </c>
      <c r="C147" s="8" t="s">
        <v>1517</v>
      </c>
      <c r="D147" s="8"/>
      <c r="E147" s="8">
        <v>3</v>
      </c>
      <c r="F147" s="8" t="s">
        <v>1535</v>
      </c>
      <c r="G147" s="9">
        <v>0</v>
      </c>
      <c r="H147" s="9" t="s">
        <v>125</v>
      </c>
      <c r="I147" s="8"/>
      <c r="K147" s="5" t="str">
        <f t="shared" si="18"/>
        <v>INSERT INTO m_code VALUES ('code011',3,'Orange','','オレンジ',0,0.0,'');</v>
      </c>
    </row>
    <row r="148" spans="2:11">
      <c r="B148" s="8" t="s">
        <v>1532</v>
      </c>
      <c r="C148" s="8" t="s">
        <v>1518</v>
      </c>
      <c r="D148" s="8"/>
      <c r="E148" s="8">
        <v>4</v>
      </c>
      <c r="F148" s="8" t="s">
        <v>1536</v>
      </c>
      <c r="G148" s="9">
        <v>0</v>
      </c>
      <c r="H148" s="9" t="s">
        <v>125</v>
      </c>
      <c r="I148" s="8"/>
      <c r="K148" s="5" t="str">
        <f t="shared" si="18"/>
        <v>INSERT INTO m_code VALUES ('code011',4,'Yellow','','イエロー',0,0.0,'');</v>
      </c>
    </row>
    <row r="149" spans="2:11">
      <c r="B149" s="8" t="s">
        <v>1532</v>
      </c>
      <c r="C149" s="8" t="s">
        <v>1519</v>
      </c>
      <c r="D149" s="8"/>
      <c r="E149" s="8">
        <v>5</v>
      </c>
      <c r="F149" s="8" t="s">
        <v>1537</v>
      </c>
      <c r="G149" s="9">
        <v>0</v>
      </c>
      <c r="H149" s="9" t="s">
        <v>125</v>
      </c>
      <c r="I149" s="8"/>
      <c r="K149" s="5" t="str">
        <f t="shared" si="18"/>
        <v>INSERT INTO m_code VALUES ('code011',5,'Green','','グリーン',0,0.0,'');</v>
      </c>
    </row>
    <row r="150" spans="2:11">
      <c r="B150" s="8" t="s">
        <v>1532</v>
      </c>
      <c r="C150" s="8" t="s">
        <v>1520</v>
      </c>
      <c r="D150" s="8"/>
      <c r="E150" s="8">
        <v>6</v>
      </c>
      <c r="F150" s="8" t="s">
        <v>1538</v>
      </c>
      <c r="G150" s="9">
        <v>0</v>
      </c>
      <c r="H150" s="9" t="s">
        <v>125</v>
      </c>
      <c r="I150" s="8"/>
      <c r="K150" s="5" t="str">
        <f t="shared" si="18"/>
        <v>INSERT INTO m_code VALUES ('code011',6,'SkyBlue','','スカイブルー',0,0.0,'');</v>
      </c>
    </row>
    <row r="151" spans="2:11">
      <c r="B151" s="8" t="s">
        <v>1532</v>
      </c>
      <c r="C151" s="8" t="s">
        <v>1521</v>
      </c>
      <c r="D151" s="8"/>
      <c r="E151" s="8">
        <v>7</v>
      </c>
      <c r="F151" s="8" t="s">
        <v>1539</v>
      </c>
      <c r="G151" s="9">
        <v>0</v>
      </c>
      <c r="H151" s="9" t="s">
        <v>125</v>
      </c>
      <c r="I151" s="8"/>
      <c r="K151" s="5" t="str">
        <f t="shared" si="18"/>
        <v>INSERT INTO m_code VALUES ('code011',7,'Blue','','ブルー',0,0.0,'');</v>
      </c>
    </row>
    <row r="152" spans="2:11">
      <c r="B152" s="8" t="s">
        <v>1532</v>
      </c>
      <c r="C152" s="8" t="s">
        <v>1522</v>
      </c>
      <c r="D152" s="8"/>
      <c r="E152" s="8">
        <v>8</v>
      </c>
      <c r="F152" s="8" t="s">
        <v>1540</v>
      </c>
      <c r="G152" s="9">
        <v>0</v>
      </c>
      <c r="H152" s="9" t="s">
        <v>125</v>
      </c>
      <c r="I152" s="8"/>
      <c r="K152" s="5" t="str">
        <f t="shared" si="18"/>
        <v>INSERT INTO m_code VALUES ('code011',8,'Purple','','パープル',0,0.0,'');</v>
      </c>
    </row>
    <row r="153" spans="2:11">
      <c r="B153" s="8" t="s">
        <v>1532</v>
      </c>
      <c r="C153" s="8" t="s">
        <v>1523</v>
      </c>
      <c r="D153" s="8"/>
      <c r="E153" s="8">
        <v>9</v>
      </c>
      <c r="F153" s="8" t="s">
        <v>1541</v>
      </c>
      <c r="G153" s="9">
        <v>0</v>
      </c>
      <c r="H153" s="9" t="s">
        <v>125</v>
      </c>
      <c r="I153" s="8"/>
      <c r="K153" s="5" t="str">
        <f t="shared" si="18"/>
        <v>INSERT INTO m_code VALUES ('code011',9,'Gray','','グレー',0,0.0,'');</v>
      </c>
    </row>
    <row r="154" spans="2:11">
      <c r="B154" s="8" t="s">
        <v>1532</v>
      </c>
      <c r="C154" s="8" t="s">
        <v>1524</v>
      </c>
      <c r="D154" s="8"/>
      <c r="E154" s="8">
        <v>10</v>
      </c>
      <c r="F154" s="8" t="s">
        <v>1542</v>
      </c>
      <c r="G154" s="9">
        <v>0</v>
      </c>
      <c r="H154" s="9" t="s">
        <v>125</v>
      </c>
      <c r="I154" s="8"/>
      <c r="K154" s="5" t="str">
        <f t="shared" si="18"/>
        <v>INSERT INTO m_code VALUES ('code011',10,'Black','','ブラック',0,0.0,'');</v>
      </c>
    </row>
    <row r="155" spans="2:11">
      <c r="B155" s="8" t="s">
        <v>1532</v>
      </c>
      <c r="C155" s="8" t="s">
        <v>1525</v>
      </c>
      <c r="D155" s="8"/>
      <c r="E155" s="8">
        <v>11</v>
      </c>
      <c r="F155" s="8" t="s">
        <v>1543</v>
      </c>
      <c r="G155" s="9">
        <v>0</v>
      </c>
      <c r="H155" s="9" t="s">
        <v>125</v>
      </c>
      <c r="I155" s="8"/>
      <c r="K155" s="5" t="str">
        <f t="shared" si="18"/>
        <v>INSERT INTO m_code VALUES ('code011',11,'White','','ホワイト',0,0.0,'');</v>
      </c>
    </row>
    <row r="156" spans="2:11">
      <c r="B156" s="8" t="s">
        <v>1532</v>
      </c>
      <c r="C156" s="8" t="s">
        <v>1526</v>
      </c>
      <c r="D156" s="8"/>
      <c r="E156" s="8">
        <v>12</v>
      </c>
      <c r="F156" s="8" t="s">
        <v>1544</v>
      </c>
      <c r="G156" s="9">
        <v>0</v>
      </c>
      <c r="H156" s="9" t="s">
        <v>125</v>
      </c>
      <c r="I156" s="8"/>
      <c r="K156" s="5" t="str">
        <f t="shared" si="18"/>
        <v>INSERT INTO m_code VALUES ('code011',12,'Natural','','ナチュラル',0,0.0,'');</v>
      </c>
    </row>
    <row r="157" spans="2:11">
      <c r="B157" s="8" t="s">
        <v>1532</v>
      </c>
      <c r="C157" s="8" t="s">
        <v>1531</v>
      </c>
      <c r="D157" s="8"/>
      <c r="E157" s="8">
        <v>13</v>
      </c>
      <c r="F157" s="8" t="s">
        <v>1545</v>
      </c>
      <c r="G157" s="9">
        <v>0</v>
      </c>
      <c r="H157" s="9" t="s">
        <v>125</v>
      </c>
      <c r="I157" s="8"/>
      <c r="K157" s="5" t="str">
        <f t="shared" si="18"/>
        <v>INSERT INTO m_code VALUES ('code011',13,'Brown','','ブラウン',0,0.0,'');</v>
      </c>
    </row>
    <row r="158" spans="2:11">
      <c r="B158" s="8" t="s">
        <v>1532</v>
      </c>
      <c r="C158" s="8" t="s">
        <v>1527</v>
      </c>
      <c r="D158" s="8"/>
      <c r="E158" s="8">
        <v>14</v>
      </c>
      <c r="F158" s="8" t="s">
        <v>1546</v>
      </c>
      <c r="G158" s="9">
        <v>0</v>
      </c>
      <c r="H158" s="9" t="s">
        <v>125</v>
      </c>
      <c r="I158" s="8"/>
      <c r="K158" s="5" t="str">
        <f t="shared" si="18"/>
        <v>INSERT INTO m_code VALUES ('code011',14,'Gold','','ゴールド',0,0.0,'');</v>
      </c>
    </row>
    <row r="159" spans="2:11">
      <c r="B159" s="8" t="s">
        <v>1532</v>
      </c>
      <c r="C159" s="8" t="s">
        <v>1528</v>
      </c>
      <c r="D159" s="8"/>
      <c r="E159" s="8">
        <v>15</v>
      </c>
      <c r="F159" s="8" t="s">
        <v>1547</v>
      </c>
      <c r="G159" s="9">
        <v>0</v>
      </c>
      <c r="H159" s="9" t="s">
        <v>125</v>
      </c>
      <c r="I159" s="8"/>
      <c r="K159" s="5" t="str">
        <f t="shared" si="18"/>
        <v>INSERT INTO m_code VALUES ('code011',15,'Silver','','シルバー',0,0.0,'');</v>
      </c>
    </row>
    <row r="160" spans="2:11">
      <c r="B160" s="8" t="s">
        <v>1532</v>
      </c>
      <c r="C160" s="8" t="s">
        <v>1529</v>
      </c>
      <c r="D160" s="8"/>
      <c r="E160" s="8">
        <v>99</v>
      </c>
      <c r="F160" s="8" t="s">
        <v>1548</v>
      </c>
      <c r="G160" s="9">
        <v>0</v>
      </c>
      <c r="H160" s="9" t="s">
        <v>125</v>
      </c>
      <c r="I160" s="8"/>
      <c r="K160" s="5" t="str">
        <f t="shared" si="18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O33" sqref="O33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("&amp;"'"&amp;B6&amp;"'"&amp;","&amp;"'"&amp;C6&amp;"'"&amp;","&amp;VLOOKUP(D6,コード!$C$48:$I$107,3,FALSE)&amp;","&amp;E6&amp;","&amp;F6&amp;","&amp;G6&amp;","&amp;H6&amp;","&amp;VLOOKUP(I6,コード!$C$5:$I$11,3,FALSE)&amp;");"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("&amp;"'"&amp;B7&amp;"'"&amp;","&amp;"'"&amp;C7&amp;"'"&amp;","&amp;VLOOKUP(D7,コード!$C$48:$I$107,3,FALSE)&amp;","&amp;E7&amp;","&amp;F7&amp;","&amp;G7&amp;","&amp;H7&amp;","&amp;VLOOKUP(I7,コード!$C$5:$I$11,3,FALSE)&amp;");"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("&amp;"'"&amp;B8&amp;"'"&amp;","&amp;"'"&amp;C8&amp;"'"&amp;","&amp;VLOOKUP(D8,コード!$C$48:$I$107,3,FALSE)&amp;","&amp;E8&amp;","&amp;F8&amp;","&amp;G8&amp;","&amp;H8&amp;","&amp;VLOOKUP(I8,コード!$C$5:$I$11,3,FALSE)&amp;");"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("&amp;"'"&amp;B9&amp;"'"&amp;","&amp;"'"&amp;C9&amp;"'"&amp;","&amp;VLOOKUP(D9,コード!$C$48:$I$107,3,FALSE)&amp;","&amp;E9&amp;","&amp;F9&amp;","&amp;G9&amp;","&amp;H9&amp;","&amp;VLOOKUP(I9,コード!$C$5:$I$11,3,FALSE)&amp;");"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("&amp;"'"&amp;B10&amp;"'"&amp;","&amp;"'"&amp;C10&amp;"'"&amp;","&amp;VLOOKUP(D10,コード!$C$48:$I$107,3,FALSE)&amp;","&amp;E10&amp;","&amp;F10&amp;","&amp;G10&amp;","&amp;H10&amp;","&amp;VLOOKUP(I10,コード!$C$5:$I$11,3,FALSE)&amp;");"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("&amp;"'"&amp;B11&amp;"'"&amp;","&amp;"'"&amp;C11&amp;"'"&amp;","&amp;VLOOKUP(D11,コード!$C$48:$I$107,3,FALSE)&amp;","&amp;E11&amp;","&amp;F11&amp;","&amp;G11&amp;","&amp;H11&amp;","&amp;VLOOKUP(I11,コード!$C$5:$I$11,3,FALSE)&amp;");"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("&amp;"'"&amp;B12&amp;"'"&amp;","&amp;"'"&amp;C12&amp;"'"&amp;","&amp;VLOOKUP(D12,コード!$C$48:$I$107,3,FALSE)&amp;","&amp;E12&amp;","&amp;F12&amp;","&amp;G12&amp;","&amp;H12&amp;","&amp;VLOOKUP(I12,コード!$C$5:$I$11,3,FALSE)&amp;");"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("&amp;"'"&amp;B13&amp;"'"&amp;","&amp;"'"&amp;C13&amp;"'"&amp;","&amp;VLOOKUP(D13,コード!$C$48:$I$107,3,FALSE)&amp;","&amp;E13&amp;","&amp;F13&amp;","&amp;G13&amp;","&amp;H13&amp;","&amp;VLOOKUP(I13,コード!$C$5:$I$11,3,FALSE)&amp;");"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("&amp;"'"&amp;B14&amp;"'"&amp;","&amp;"'"&amp;C14&amp;"'"&amp;","&amp;VLOOKUP(D14,コード!$C$48:$I$107,3,FALSE)&amp;","&amp;E14&amp;","&amp;F14&amp;","&amp;G14&amp;","&amp;H14&amp;","&amp;VLOOKUP(I14,コード!$C$5:$I$11,3,FALSE)&amp;");"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("&amp;"'"&amp;B15&amp;"'"&amp;","&amp;"'"&amp;C15&amp;"'"&amp;","&amp;VLOOKUP(D15,コード!$C$48:$I$107,3,FALSE)&amp;","&amp;E15&amp;","&amp;F15&amp;","&amp;G15&amp;","&amp;H15&amp;","&amp;VLOOKUP(I15,コード!$C$5:$I$11,3,FALSE)&amp;");"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("&amp;"'"&amp;B16&amp;"'"&amp;","&amp;"'"&amp;C16&amp;"'"&amp;","&amp;VLOOKUP(D16,コード!$C$48:$I$107,3,FALSE)&amp;","&amp;E16&amp;","&amp;F16&amp;","&amp;G16&amp;","&amp;H16&amp;","&amp;VLOOKUP(I16,コード!$C$5:$I$11,3,FALSE)&amp;");"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("&amp;"'"&amp;B17&amp;"'"&amp;","&amp;"'"&amp;C17&amp;"'"&amp;","&amp;VLOOKUP(D17,コード!$C$48:$I$107,3,FALSE)&amp;","&amp;E17&amp;","&amp;F17&amp;","&amp;G17&amp;","&amp;H17&amp;","&amp;VLOOKUP(I17,コード!$C$5:$I$11,3,FALSE)&amp;");"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("&amp;"'"&amp;B18&amp;"'"&amp;","&amp;"'"&amp;C18&amp;"'"&amp;","&amp;VLOOKUP(D18,コード!$C$48:$I$107,3,FALSE)&amp;","&amp;E18&amp;","&amp;F18&amp;","&amp;G18&amp;","&amp;H18&amp;","&amp;VLOOKUP(I18,コード!$C$5:$I$11,3,FALSE)&amp;");"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("&amp;"'"&amp;B19&amp;"'"&amp;","&amp;"'"&amp;C19&amp;"'"&amp;","&amp;VLOOKUP(D19,コード!$C$48:$I$107,3,FALSE)&amp;","&amp;E19&amp;","&amp;F19&amp;","&amp;G19&amp;","&amp;H19&amp;","&amp;VLOOKUP(I19,コード!$C$5:$I$11,3,FALSE)&amp;");"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("&amp;"'"&amp;B20&amp;"'"&amp;","&amp;"'"&amp;C20&amp;"'"&amp;","&amp;VLOOKUP(D20,コード!$C$48:$I$107,3,FALSE)&amp;","&amp;E20&amp;","&amp;F20&amp;","&amp;G20&amp;","&amp;H20&amp;","&amp;VLOOKUP(I20,コード!$C$5:$I$11,3,FALSE)&amp;");"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("&amp;"'"&amp;B21&amp;"'"&amp;","&amp;"'"&amp;C21&amp;"'"&amp;","&amp;VLOOKUP(D21,コード!$C$48:$I$107,3,FALSE)&amp;","&amp;E21&amp;","&amp;F21&amp;","&amp;G21&amp;","&amp;H21&amp;","&amp;VLOOKUP(I21,コード!$C$5:$I$11,3,FALSE)&amp;");"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("&amp;"'"&amp;B22&amp;"'"&amp;","&amp;"'"&amp;C22&amp;"'"&amp;","&amp;VLOOKUP(D22,コード!$C$48:$I$107,3,FALSE)&amp;","&amp;E22&amp;","&amp;F22&amp;","&amp;G22&amp;","&amp;H22&amp;","&amp;VLOOKUP(I22,コード!$C$5:$I$11,3,FALSE)&amp;");"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("&amp;"'"&amp;B23&amp;"'"&amp;","&amp;"'"&amp;C23&amp;"'"&amp;","&amp;VLOOKUP(D23,コード!$C$48:$I$107,3,FALSE)&amp;","&amp;E23&amp;","&amp;F23&amp;","&amp;G23&amp;","&amp;H23&amp;","&amp;VLOOKUP(I23,コード!$C$5:$I$11,3,FALSE)&amp;");"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("&amp;"'"&amp;B24&amp;"'"&amp;","&amp;"'"&amp;C24&amp;"'"&amp;","&amp;VLOOKUP(D24,コード!$C$48:$I$107,3,FALSE)&amp;","&amp;E24&amp;","&amp;F24&amp;","&amp;G24&amp;","&amp;H24&amp;","&amp;VLOOKUP(I24,コード!$C$5:$I$11,3,FALSE)&amp;");"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("&amp;"'"&amp;B25&amp;"'"&amp;","&amp;"'"&amp;C25&amp;"'"&amp;","&amp;VLOOKUP(D25,コード!$C$48:$I$107,3,FALSE)&amp;","&amp;E25&amp;","&amp;F25&amp;","&amp;G25&amp;","&amp;H25&amp;","&amp;VLOOKUP(I25,コード!$C$5:$I$11,3,FALSE)&amp;");"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("&amp;"'"&amp;B26&amp;"'"&amp;","&amp;"'"&amp;C26&amp;"'"&amp;","&amp;VLOOKUP(D26,コード!$C$48:$I$107,3,FALSE)&amp;","&amp;E26&amp;","&amp;F26&amp;","&amp;G26&amp;","&amp;H26&amp;","&amp;VLOOKUP(I26,コード!$C$5:$I$11,3,FALSE)&amp;");"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("&amp;"'"&amp;B27&amp;"'"&amp;","&amp;"'"&amp;C27&amp;"'"&amp;","&amp;VLOOKUP(D27,コード!$C$48:$I$107,3,FALSE)&amp;","&amp;E27&amp;","&amp;F27&amp;","&amp;G27&amp;","&amp;H27&amp;","&amp;VLOOKUP(I27,コード!$C$5:$I$11,3,FALSE)&amp;");"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("&amp;"'"&amp;B28&amp;"'"&amp;","&amp;"'"&amp;C28&amp;"'"&amp;","&amp;VLOOKUP(D28,コード!$C$48:$I$107,3,FALSE)&amp;","&amp;E28&amp;","&amp;F28&amp;","&amp;G28&amp;","&amp;H28&amp;","&amp;VLOOKUP(I28,コード!$C$5:$I$11,3,FALSE)&amp;");"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("&amp;"'"&amp;B29&amp;"'"&amp;","&amp;"'"&amp;C29&amp;"'"&amp;","&amp;VLOOKUP(D29,コード!$C$48:$I$107,3,FALSE)&amp;","&amp;E29&amp;","&amp;F29&amp;","&amp;G29&amp;","&amp;H29&amp;","&amp;VLOOKUP(I29,コード!$C$5:$I$11,3,FALSE)&amp;");"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("&amp;"'"&amp;B30&amp;"'"&amp;","&amp;"'"&amp;C30&amp;"'"&amp;","&amp;VLOOKUP(D30,コード!$C$48:$I$107,3,FALSE)&amp;","&amp;E30&amp;","&amp;F30&amp;","&amp;G30&amp;","&amp;H30&amp;","&amp;VLOOKUP(I30,コード!$C$5:$I$11,3,FALSE)&amp;");"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("&amp;"'"&amp;B31&amp;"'"&amp;","&amp;"'"&amp;C31&amp;"'"&amp;","&amp;VLOOKUP(D31,コード!$C$48:$I$107,3,FALSE)&amp;","&amp;E31&amp;","&amp;F31&amp;","&amp;G31&amp;","&amp;H31&amp;","&amp;VLOOKUP(I31,コード!$C$5:$I$11,3,FALSE)&amp;");"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("&amp;"'"&amp;B32&amp;"'"&amp;","&amp;"'"&amp;C32&amp;"'"&amp;","&amp;VLOOKUP(D32,コード!$C$48:$I$107,3,FALSE)&amp;","&amp;E32&amp;","&amp;F32&amp;","&amp;G32&amp;","&amp;H32&amp;","&amp;VLOOKUP(I32,コード!$C$5:$I$11,3,FALSE)&amp;");"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("&amp;"'"&amp;B33&amp;"'"&amp;","&amp;"'"&amp;C33&amp;"'"&amp;","&amp;VLOOKUP(D33,コード!$C$48:$I$107,3,FALSE)&amp;","&amp;E33&amp;","&amp;F33&amp;","&amp;G33&amp;","&amp;H33&amp;","&amp;VLOOKUP(I33,コード!$C$5:$I$11,3,FALSE)&amp;");"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("&amp;"'"&amp;B34&amp;"'"&amp;","&amp;"'"&amp;C34&amp;"'"&amp;","&amp;VLOOKUP(D34,コード!$C$48:$I$107,3,FALSE)&amp;","&amp;E34&amp;","&amp;F34&amp;","&amp;G34&amp;","&amp;H34&amp;","&amp;VLOOKUP(I34,コード!$C$5:$I$11,3,FALSE)&amp;");"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("&amp;"'"&amp;B35&amp;"'"&amp;","&amp;"'"&amp;C35&amp;"'"&amp;","&amp;VLOOKUP(D35,コード!$C$48:$I$107,3,FALSE)&amp;","&amp;E35&amp;","&amp;F35&amp;","&amp;G35&amp;","&amp;H35&amp;","&amp;VLOOKUP(I35,コード!$C$5:$I$11,3,FALSE)&amp;");"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("&amp;"'"&amp;B36&amp;"'"&amp;","&amp;"'"&amp;C36&amp;"'"&amp;","&amp;VLOOKUP(D36,コード!$C$48:$I$107,3,FALSE)&amp;","&amp;E36&amp;","&amp;F36&amp;","&amp;G36&amp;","&amp;H36&amp;","&amp;VLOOKUP(I36,コード!$C$5:$I$11,3,FALSE)&amp;");"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("&amp;"'"&amp;B37&amp;"'"&amp;","&amp;"'"&amp;C37&amp;"'"&amp;","&amp;VLOOKUP(D37,コード!$C$48:$I$107,3,FALSE)&amp;","&amp;E37&amp;","&amp;F37&amp;","&amp;G37&amp;","&amp;H37&amp;","&amp;VLOOKUP(I37,コード!$C$5:$I$11,3,FALSE)&amp;");"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("&amp;"'"&amp;B38&amp;"'"&amp;","&amp;"'"&amp;C38&amp;"'"&amp;","&amp;VLOOKUP(D38,コード!$C$48:$I$107,3,FALSE)&amp;","&amp;E38&amp;","&amp;F38&amp;","&amp;G38&amp;","&amp;H38&amp;","&amp;VLOOKUP(I38,コード!$C$5:$I$11,3,FALSE)&amp;");"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("&amp;"'"&amp;B39&amp;"'"&amp;","&amp;"'"&amp;C39&amp;"'"&amp;","&amp;VLOOKUP(D39,コード!$C$48:$I$107,3,FALSE)&amp;","&amp;E39&amp;","&amp;F39&amp;","&amp;G39&amp;","&amp;H39&amp;","&amp;VLOOKUP(I39,コード!$C$5:$I$11,3,FALSE)&amp;");"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("&amp;"'"&amp;B40&amp;"'"&amp;","&amp;"'"&amp;C40&amp;"'"&amp;","&amp;VLOOKUP(D40,コード!$C$48:$I$107,3,FALSE)&amp;","&amp;E40&amp;","&amp;F40&amp;","&amp;G40&amp;","&amp;H40&amp;","&amp;VLOOKUP(I40,コード!$C$5:$I$11,3,FALSE)&amp;");"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("&amp;"'"&amp;B41&amp;"'"&amp;","&amp;"'"&amp;C41&amp;"'"&amp;","&amp;VLOOKUP(D41,コード!$C$48:$I$107,3,FALSE)&amp;","&amp;E41&amp;","&amp;F41&amp;","&amp;G41&amp;","&amp;H41&amp;","&amp;VLOOKUP(I41,コード!$C$5:$I$11,3,FALSE)&amp;");"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("&amp;"'"&amp;B42&amp;"'"&amp;","&amp;"'"&amp;C42&amp;"'"&amp;","&amp;VLOOKUP(D42,コード!$C$48:$I$107,3,FALSE)&amp;","&amp;E42&amp;","&amp;F42&amp;","&amp;G42&amp;","&amp;H42&amp;","&amp;VLOOKUP(I42,コード!$C$5:$I$11,3,FALSE)&amp;");"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("&amp;"'"&amp;B43&amp;"'"&amp;","&amp;"'"&amp;C43&amp;"'"&amp;","&amp;VLOOKUP(D43,コード!$C$48:$I$107,3,FALSE)&amp;","&amp;E43&amp;","&amp;F43&amp;","&amp;G43&amp;","&amp;H43&amp;","&amp;VLOOKUP(I43,コード!$C$5:$I$11,3,FALSE)&amp;");"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("&amp;"'"&amp;B44&amp;"'"&amp;","&amp;"'"&amp;C44&amp;"'"&amp;","&amp;VLOOKUP(D44,コード!$C$48:$I$107,3,FALSE)&amp;","&amp;E44&amp;","&amp;F44&amp;","&amp;G44&amp;","&amp;H44&amp;","&amp;VLOOKUP(I44,コード!$C$5:$I$11,3,FALSE)&amp;");"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("&amp;"'"&amp;B45&amp;"'"&amp;","&amp;"'"&amp;C45&amp;"'"&amp;","&amp;VLOOKUP(D45,コード!$C$48:$I$107,3,FALSE)&amp;","&amp;E45&amp;","&amp;F45&amp;","&amp;G45&amp;","&amp;H45&amp;","&amp;VLOOKUP(I45,コード!$C$5:$I$11,3,FALSE)&amp;");"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("&amp;"'"&amp;B46&amp;"'"&amp;","&amp;"'"&amp;C46&amp;"'"&amp;","&amp;VLOOKUP(D46,コード!$C$48:$I$107,3,FALSE)&amp;","&amp;E46&amp;","&amp;F46&amp;","&amp;G46&amp;","&amp;H46&amp;","&amp;VLOOKUP(I46,コード!$C$5:$I$11,3,FALSE)&amp;");"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("&amp;"'"&amp;B47&amp;"'"&amp;","&amp;"'"&amp;C47&amp;"'"&amp;","&amp;VLOOKUP(D47,コード!$C$48:$I$107,3,FALSE)&amp;","&amp;E47&amp;","&amp;F47&amp;","&amp;G47&amp;","&amp;H47&amp;","&amp;VLOOKUP(I47,コード!$C$5:$I$11,3,FALSE)&amp;");"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("&amp;"'"&amp;B48&amp;"'"&amp;","&amp;"'"&amp;C48&amp;"'"&amp;","&amp;VLOOKUP(D48,コード!$C$48:$I$107,3,FALSE)&amp;","&amp;E48&amp;","&amp;F48&amp;","&amp;G48&amp;","&amp;H48&amp;","&amp;VLOOKUP(I48,コード!$C$5:$I$11,3,FALSE)&amp;");"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("&amp;"'"&amp;B49&amp;"'"&amp;","&amp;"'"&amp;C49&amp;"'"&amp;","&amp;VLOOKUP(D49,コード!$C$48:$I$107,3,FALSE)&amp;","&amp;E49&amp;","&amp;F49&amp;","&amp;G49&amp;","&amp;H49&amp;","&amp;VLOOKUP(I49,コード!$C$5:$I$11,3,FALSE)&amp;");"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("&amp;"'"&amp;B50&amp;"'"&amp;","&amp;"'"&amp;C50&amp;"'"&amp;","&amp;VLOOKUP(D50,コード!$C$48:$I$107,3,FALSE)&amp;","&amp;E50&amp;","&amp;F50&amp;","&amp;G50&amp;","&amp;H50&amp;","&amp;VLOOKUP(I50,コード!$C$5:$I$11,3,FALSE)&amp;");"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("&amp;"'"&amp;B51&amp;"'"&amp;","&amp;"'"&amp;C51&amp;"'"&amp;","&amp;VLOOKUP(D51,コード!$C$48:$I$107,3,FALSE)&amp;","&amp;E51&amp;","&amp;F51&amp;","&amp;G51&amp;","&amp;H51&amp;","&amp;VLOOKUP(I51,コード!$C$5:$I$11,3,FALSE)&amp;");"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("&amp;"'"&amp;B52&amp;"'"&amp;","&amp;"'"&amp;C52&amp;"'"&amp;","&amp;VLOOKUP(D52,コード!$C$48:$I$107,3,FALSE)&amp;","&amp;E52&amp;","&amp;F52&amp;","&amp;G52&amp;","&amp;H52&amp;","&amp;VLOOKUP(I52,コード!$C$5:$I$11,3,FALSE)&amp;");"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("&amp;"'"&amp;B53&amp;"'"&amp;","&amp;"'"&amp;C53&amp;"'"&amp;","&amp;VLOOKUP(D53,コード!$C$48:$I$107,3,FALSE)&amp;","&amp;E53&amp;","&amp;F53&amp;","&amp;G53&amp;","&amp;H53&amp;","&amp;VLOOKUP(I53,コード!$C$5:$I$11,3,FALSE)&amp;");"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("&amp;"'"&amp;B54&amp;"'"&amp;","&amp;"'"&amp;C54&amp;"'"&amp;","&amp;VLOOKUP(D54,コード!$C$48:$I$107,3,FALSE)&amp;","&amp;E54&amp;","&amp;F54&amp;","&amp;G54&amp;","&amp;H54&amp;","&amp;VLOOKUP(I54,コード!$C$5:$I$11,3,FALSE)&amp;");"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("&amp;"'"&amp;B55&amp;"'"&amp;","&amp;"'"&amp;C55&amp;"'"&amp;","&amp;VLOOKUP(D55,コード!$C$48:$I$107,3,FALSE)&amp;","&amp;E55&amp;","&amp;F55&amp;","&amp;G55&amp;","&amp;H55&amp;","&amp;VLOOKUP(I55,コード!$C$5:$I$11,3,FALSE)&amp;");"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("&amp;"'"&amp;B56&amp;"'"&amp;","&amp;"'"&amp;C56&amp;"'"&amp;","&amp;VLOOKUP(D56,コード!$C$48:$I$107,3,FALSE)&amp;","&amp;E56&amp;","&amp;F56&amp;","&amp;G56&amp;","&amp;H56&amp;","&amp;VLOOKUP(I56,コード!$C$5:$I$11,3,FALSE)&amp;");"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("&amp;"'"&amp;B57&amp;"'"&amp;","&amp;"'"&amp;C57&amp;"'"&amp;","&amp;VLOOKUP(D57,コード!$C$48:$I$107,3,FALSE)&amp;","&amp;E57&amp;","&amp;F57&amp;","&amp;G57&amp;","&amp;H57&amp;","&amp;VLOOKUP(I57,コード!$C$5:$I$11,3,FALSE)&amp;");"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("&amp;"'"&amp;B58&amp;"'"&amp;","&amp;"'"&amp;C58&amp;"'"&amp;","&amp;VLOOKUP(D58,コード!$C$48:$I$107,3,FALSE)&amp;","&amp;E58&amp;","&amp;F58&amp;","&amp;G58&amp;","&amp;H58&amp;","&amp;VLOOKUP(I58,コード!$C$5:$I$11,3,FALSE)&amp;");"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("&amp;"'"&amp;B59&amp;"'"&amp;","&amp;"'"&amp;C59&amp;"'"&amp;","&amp;VLOOKUP(D59,コード!$C$48:$I$107,3,FALSE)&amp;","&amp;E59&amp;","&amp;F59&amp;","&amp;G59&amp;","&amp;H59&amp;","&amp;VLOOKUP(I59,コード!$C$5:$I$11,3,FALSE)&amp;");"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("&amp;"'"&amp;B60&amp;"'"&amp;","&amp;"'"&amp;C60&amp;"'"&amp;","&amp;VLOOKUP(D60,コード!$C$48:$I$107,3,FALSE)&amp;","&amp;E60&amp;","&amp;F60&amp;","&amp;G60&amp;","&amp;H60&amp;","&amp;VLOOKUP(I60,コード!$C$5:$I$11,3,FALSE)&amp;");"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("&amp;"'"&amp;B61&amp;"'"&amp;","&amp;"'"&amp;C61&amp;"'"&amp;","&amp;VLOOKUP(D61,コード!$C$48:$I$107,3,FALSE)&amp;","&amp;E61&amp;","&amp;F61&amp;","&amp;G61&amp;","&amp;H61&amp;","&amp;VLOOKUP(I61,コード!$C$5:$I$11,3,FALSE)&amp;");"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("&amp;"'"&amp;B62&amp;"'"&amp;","&amp;"'"&amp;C62&amp;"'"&amp;","&amp;VLOOKUP(D62,コード!$C$48:$I$107,3,FALSE)&amp;","&amp;E62&amp;","&amp;F62&amp;","&amp;G62&amp;","&amp;H62&amp;","&amp;VLOOKUP(I62,コード!$C$5:$I$11,3,FALSE)&amp;");"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("&amp;"'"&amp;B63&amp;"'"&amp;","&amp;"'"&amp;C63&amp;"'"&amp;","&amp;VLOOKUP(D63,コード!$C$48:$I$107,3,FALSE)&amp;","&amp;E63&amp;","&amp;F63&amp;","&amp;G63&amp;","&amp;H63&amp;","&amp;VLOOKUP(I63,コード!$C$5:$I$11,3,FALSE)&amp;");"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("&amp;"'"&amp;B64&amp;"'"&amp;","&amp;"'"&amp;C64&amp;"'"&amp;","&amp;VLOOKUP(D64,コード!$C$48:$I$107,3,FALSE)&amp;","&amp;E64&amp;","&amp;F64&amp;","&amp;G64&amp;","&amp;H64&amp;","&amp;VLOOKUP(I64,コード!$C$5:$I$11,3,FALSE)&amp;");"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("&amp;"'"&amp;B65&amp;"'"&amp;","&amp;"'"&amp;C65&amp;"'"&amp;","&amp;VLOOKUP(D65,コード!$C$48:$I$107,3,FALSE)&amp;","&amp;E65&amp;","&amp;F65&amp;","&amp;G65&amp;","&amp;H65&amp;","&amp;VLOOKUP(I65,コード!$C$5:$I$11,3,FALSE)&amp;");"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("&amp;"'"&amp;B66&amp;"'"&amp;","&amp;"'"&amp;C66&amp;"'"&amp;","&amp;VLOOKUP(D66,コード!$C$48:$I$107,3,FALSE)&amp;","&amp;E66&amp;","&amp;F66&amp;","&amp;G66&amp;","&amp;H66&amp;","&amp;VLOOKUP(I66,コード!$C$5:$I$11,3,FALSE)&amp;");"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("&amp;"'"&amp;B67&amp;"'"&amp;","&amp;"'"&amp;C67&amp;"'"&amp;","&amp;VLOOKUP(D67,コード!$C$48:$I$107,3,FALSE)&amp;","&amp;E67&amp;","&amp;F67&amp;","&amp;G67&amp;","&amp;H67&amp;","&amp;VLOOKUP(I67,コード!$C$5:$I$11,3,FALSE)&amp;");"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("&amp;"'"&amp;B68&amp;"'"&amp;","&amp;"'"&amp;C68&amp;"'"&amp;","&amp;VLOOKUP(D68,コード!$C$48:$I$107,3,FALSE)&amp;","&amp;E68&amp;","&amp;F68&amp;","&amp;G68&amp;","&amp;H68&amp;","&amp;VLOOKUP(I68,コード!$C$5:$I$11,3,FALSE)&amp;");"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("&amp;"'"&amp;B69&amp;"'"&amp;","&amp;"'"&amp;C69&amp;"'"&amp;","&amp;VLOOKUP(D69,コード!$C$48:$I$107,3,FALSE)&amp;","&amp;E69&amp;","&amp;F69&amp;","&amp;G69&amp;","&amp;H69&amp;","&amp;VLOOKUP(I69,コード!$C$5:$I$11,3,FALSE)&amp;");"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("&amp;"'"&amp;B70&amp;"'"&amp;","&amp;"'"&amp;C70&amp;"'"&amp;","&amp;VLOOKUP(D70,コード!$C$48:$I$107,3,FALSE)&amp;","&amp;E70&amp;","&amp;F70&amp;","&amp;G70&amp;","&amp;H70&amp;","&amp;VLOOKUP(I70,コード!$C$5:$I$11,3,FALSE)&amp;");"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("&amp;"'"&amp;B71&amp;"'"&amp;","&amp;"'"&amp;C71&amp;"'"&amp;","&amp;VLOOKUP(D71,コード!$C$48:$I$107,3,FALSE)&amp;","&amp;E71&amp;","&amp;F71&amp;","&amp;G71&amp;","&amp;H71&amp;","&amp;VLOOKUP(I71,コード!$C$5:$I$11,3,FALSE)&amp;");"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("&amp;"'"&amp;B72&amp;"'"&amp;","&amp;"'"&amp;C72&amp;"'"&amp;","&amp;VLOOKUP(D72,コード!$C$48:$I$107,3,FALSE)&amp;","&amp;E72&amp;","&amp;F72&amp;","&amp;G72&amp;","&amp;H72&amp;","&amp;VLOOKUP(I72,コード!$C$5:$I$11,3,FALSE)&amp;");"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("&amp;"'"&amp;B73&amp;"'"&amp;","&amp;"'"&amp;C73&amp;"'"&amp;","&amp;VLOOKUP(D73,コード!$C$48:$I$107,3,FALSE)&amp;","&amp;E73&amp;","&amp;F73&amp;","&amp;G73&amp;","&amp;H73&amp;","&amp;VLOOKUP(I73,コード!$C$5:$I$11,3,FALSE)&amp;");"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("&amp;"'"&amp;B74&amp;"'"&amp;","&amp;"'"&amp;C74&amp;"'"&amp;","&amp;VLOOKUP(D74,コード!$C$48:$I$107,3,FALSE)&amp;","&amp;E74&amp;","&amp;F74&amp;","&amp;G74&amp;","&amp;H74&amp;","&amp;VLOOKUP(I74,コード!$C$5:$I$11,3,FALSE)&amp;");"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("&amp;"'"&amp;B75&amp;"'"&amp;","&amp;"'"&amp;C75&amp;"'"&amp;","&amp;VLOOKUP(D75,コード!$C$48:$I$107,3,FALSE)&amp;","&amp;E75&amp;","&amp;F75&amp;","&amp;G75&amp;","&amp;H75&amp;","&amp;VLOOKUP(I75,コード!$C$5:$I$11,3,FALSE)&amp;");"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("&amp;"'"&amp;B76&amp;"'"&amp;","&amp;"'"&amp;C76&amp;"'"&amp;","&amp;VLOOKUP(D76,コード!$C$48:$I$107,3,FALSE)&amp;","&amp;E76&amp;","&amp;F76&amp;","&amp;G76&amp;","&amp;H76&amp;","&amp;VLOOKUP(I76,コード!$C$5:$I$11,3,FALSE)&amp;");"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("&amp;"'"&amp;B77&amp;"'"&amp;","&amp;"'"&amp;C77&amp;"'"&amp;","&amp;VLOOKUP(D77,コード!$C$48:$I$107,3,FALSE)&amp;","&amp;E77&amp;","&amp;F77&amp;","&amp;G77&amp;","&amp;H77&amp;","&amp;VLOOKUP(I77,コード!$C$5:$I$11,3,FALSE)&amp;");"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("&amp;"'"&amp;B78&amp;"'"&amp;","&amp;"'"&amp;C78&amp;"'"&amp;","&amp;VLOOKUP(D78,コード!$C$48:$I$107,3,FALSE)&amp;","&amp;E78&amp;","&amp;F78&amp;","&amp;G78&amp;","&amp;H78&amp;","&amp;VLOOKUP(I78,コード!$C$5:$I$11,3,FALSE)&amp;");"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("&amp;"'"&amp;B79&amp;"'"&amp;","&amp;"'"&amp;C79&amp;"'"&amp;","&amp;VLOOKUP(D79,コード!$C$48:$I$107,3,FALSE)&amp;","&amp;E79&amp;","&amp;F79&amp;","&amp;G79&amp;","&amp;H79&amp;","&amp;VLOOKUP(I79,コード!$C$5:$I$11,3,FALSE)&amp;");"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("&amp;"'"&amp;B80&amp;"'"&amp;","&amp;"'"&amp;C80&amp;"'"&amp;","&amp;VLOOKUP(D80,コード!$C$48:$I$107,3,FALSE)&amp;","&amp;E80&amp;","&amp;F80&amp;","&amp;G80&amp;","&amp;H80&amp;","&amp;VLOOKUP(I80,コード!$C$5:$I$11,3,FALSE)&amp;");"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("&amp;"'"&amp;B81&amp;"'"&amp;","&amp;"'"&amp;C81&amp;"'"&amp;","&amp;VLOOKUP(D81,コード!$C$48:$I$107,3,FALSE)&amp;","&amp;E81&amp;","&amp;F81&amp;","&amp;G81&amp;","&amp;H81&amp;","&amp;VLOOKUP(I81,コード!$C$5:$I$11,3,FALSE)&amp;");"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("&amp;"'"&amp;B82&amp;"'"&amp;","&amp;"'"&amp;C82&amp;"'"&amp;","&amp;VLOOKUP(D82,コード!$C$48:$I$107,3,FALSE)&amp;","&amp;E82&amp;","&amp;F82&amp;","&amp;G82&amp;","&amp;H82&amp;","&amp;VLOOKUP(I82,コード!$C$5:$I$11,3,FALSE)&amp;");"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("&amp;"'"&amp;B83&amp;"'"&amp;","&amp;"'"&amp;C83&amp;"'"&amp;","&amp;VLOOKUP(D83,コード!$C$48:$I$107,3,FALSE)&amp;","&amp;E83&amp;","&amp;F83&amp;","&amp;G83&amp;","&amp;H83&amp;","&amp;VLOOKUP(I83,コード!$C$5:$I$11,3,FALSE)&amp;");"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("&amp;"'"&amp;B84&amp;"'"&amp;","&amp;"'"&amp;C84&amp;"'"&amp;","&amp;VLOOKUP(D84,コード!$C$48:$I$107,3,FALSE)&amp;","&amp;E84&amp;","&amp;F84&amp;","&amp;G84&amp;","&amp;H84&amp;","&amp;VLOOKUP(I84,コード!$C$5:$I$11,3,FALSE)&amp;");"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("&amp;"'"&amp;B85&amp;"'"&amp;","&amp;"'"&amp;C85&amp;"'"&amp;","&amp;VLOOKUP(D85,コード!$C$48:$I$107,3,FALSE)&amp;","&amp;E85&amp;","&amp;F85&amp;","&amp;G85&amp;","&amp;H85&amp;","&amp;VLOOKUP(I85,コード!$C$5:$I$11,3,FALSE)&amp;");"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("&amp;"'"&amp;B86&amp;"'"&amp;","&amp;"'"&amp;C86&amp;"'"&amp;","&amp;VLOOKUP(D86,コード!$C$48:$I$107,3,FALSE)&amp;","&amp;E86&amp;","&amp;F86&amp;","&amp;G86&amp;","&amp;H86&amp;","&amp;VLOOKUP(I86,コード!$C$5:$I$11,3,FALSE)&amp;");"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("&amp;"'"&amp;B87&amp;"'"&amp;","&amp;"'"&amp;C87&amp;"'"&amp;","&amp;VLOOKUP(D87,コード!$C$48:$I$107,3,FALSE)&amp;","&amp;E87&amp;","&amp;F87&amp;","&amp;G87&amp;","&amp;H87&amp;","&amp;VLOOKUP(I87,コード!$C$5:$I$11,3,FALSE)&amp;");"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("&amp;"'"&amp;B88&amp;"'"&amp;","&amp;"'"&amp;C88&amp;"'"&amp;","&amp;VLOOKUP(D88,コード!$C$48:$I$107,3,FALSE)&amp;","&amp;E88&amp;","&amp;F88&amp;","&amp;G88&amp;","&amp;H88&amp;","&amp;VLOOKUP(I88,コード!$C$5:$I$11,3,FALSE)&amp;");"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("&amp;"'"&amp;B89&amp;"'"&amp;","&amp;"'"&amp;C89&amp;"'"&amp;","&amp;VLOOKUP(D89,コード!$C$48:$I$107,3,FALSE)&amp;","&amp;E89&amp;","&amp;F89&amp;","&amp;G89&amp;","&amp;H89&amp;","&amp;VLOOKUP(I89,コード!$C$5:$I$11,3,FALSE)&amp;");"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1290</v>
      </c>
      <c r="F3" s="59" t="s">
        <v>1397</v>
      </c>
      <c r="H3" s="1" t="s">
        <v>1304</v>
      </c>
      <c r="O3" s="1" t="s">
        <v>1550</v>
      </c>
    </row>
    <row r="4" spans="1:15" ht="18">
      <c r="A4" s="1" t="s">
        <v>1289</v>
      </c>
      <c r="B4" s="60" t="s">
        <v>1288</v>
      </c>
      <c r="C4" s="61" t="s">
        <v>1549</v>
      </c>
      <c r="D4" s="60" t="s">
        <v>1238</v>
      </c>
      <c r="E4" s="60" t="s">
        <v>1429</v>
      </c>
      <c r="F4" s="60" t="s">
        <v>1300</v>
      </c>
      <c r="G4" s="1" t="s">
        <v>7</v>
      </c>
      <c r="H4" s="1" t="s">
        <v>1305</v>
      </c>
      <c r="O4" s="62" t="s">
        <v>1552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1291</v>
      </c>
      <c r="F5" s="1" t="s">
        <v>1301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1292</v>
      </c>
      <c r="F6" s="1" t="s">
        <v>1184</v>
      </c>
      <c r="H6" s="1" t="s">
        <v>1431</v>
      </c>
      <c r="J6" s="1" t="s">
        <v>1379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1293</v>
      </c>
      <c r="F7" s="1" t="s">
        <v>1185</v>
      </c>
      <c r="H7" s="1" t="s">
        <v>1306</v>
      </c>
      <c r="J7" s="1" t="s">
        <v>1387</v>
      </c>
      <c r="K7" s="1" t="s">
        <v>1389</v>
      </c>
      <c r="O7" s="1" t="s">
        <v>1568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1302</v>
      </c>
      <c r="H8" s="1" t="s">
        <v>1307</v>
      </c>
      <c r="J8" s="1" t="s">
        <v>1388</v>
      </c>
      <c r="K8" s="1" t="s">
        <v>1390</v>
      </c>
      <c r="O8" s="1" t="s">
        <v>1569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1308</v>
      </c>
      <c r="J9" s="1" t="s">
        <v>1206</v>
      </c>
      <c r="O9" s="1" t="s">
        <v>1570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1309</v>
      </c>
      <c r="J10" s="1" t="s">
        <v>1203</v>
      </c>
      <c r="K10" s="1" t="s">
        <v>1391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1294</v>
      </c>
      <c r="F11" s="1" t="s">
        <v>1217</v>
      </c>
      <c r="H11" s="1" t="s">
        <v>1310</v>
      </c>
      <c r="J11" s="1" t="s">
        <v>1194</v>
      </c>
      <c r="K11" s="1" t="s">
        <v>1392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1311</v>
      </c>
      <c r="J12" s="1" t="s">
        <v>1385</v>
      </c>
      <c r="K12" s="1" t="s">
        <v>1393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1312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1303</v>
      </c>
      <c r="H14" s="1" t="s">
        <v>1313</v>
      </c>
      <c r="J14" s="1" t="s">
        <v>1394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1291</v>
      </c>
      <c r="H15" s="1" t="s">
        <v>1314</v>
      </c>
      <c r="J15" s="1" t="s">
        <v>1380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1295</v>
      </c>
      <c r="H16" s="1" t="s">
        <v>1315</v>
      </c>
      <c r="J16" s="1" t="s">
        <v>1381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1296</v>
      </c>
      <c r="H17" s="1" t="s">
        <v>1316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1297</v>
      </c>
      <c r="H18" s="1" t="s">
        <v>1317</v>
      </c>
      <c r="J18" s="1" t="s">
        <v>1383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1318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1319</v>
      </c>
      <c r="J20" s="1" t="s">
        <v>1382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1320</v>
      </c>
      <c r="J21" s="1" t="s">
        <v>1386</v>
      </c>
    </row>
    <row r="22" spans="2:10">
      <c r="C22" s="1" t="s">
        <v>1218</v>
      </c>
      <c r="D22" s="1" t="s">
        <v>1253</v>
      </c>
      <c r="E22" s="1" t="s">
        <v>1298</v>
      </c>
      <c r="H22" s="1" t="s">
        <v>1321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1322</v>
      </c>
      <c r="J23" s="1" t="s">
        <v>1432</v>
      </c>
    </row>
    <row r="24" spans="2:10">
      <c r="C24" s="1" t="s">
        <v>1219</v>
      </c>
      <c r="D24" s="1" t="s">
        <v>1255</v>
      </c>
      <c r="H24" s="1" t="s">
        <v>1323</v>
      </c>
      <c r="J24" s="1" t="s">
        <v>1433</v>
      </c>
    </row>
    <row r="25" spans="2:10">
      <c r="C25" s="1" t="s">
        <v>1220</v>
      </c>
      <c r="D25" s="1" t="s">
        <v>1208</v>
      </c>
      <c r="H25" s="1" t="s">
        <v>1324</v>
      </c>
      <c r="J25" s="1" t="s">
        <v>1384</v>
      </c>
    </row>
    <row r="26" spans="2:10">
      <c r="C26" s="1" t="s">
        <v>1221</v>
      </c>
      <c r="D26" s="1" t="s">
        <v>1256</v>
      </c>
      <c r="H26" s="1" t="s">
        <v>1325</v>
      </c>
    </row>
    <row r="27" spans="2:10">
      <c r="C27" s="1" t="s">
        <v>1222</v>
      </c>
      <c r="D27" s="1" t="s">
        <v>1257</v>
      </c>
      <c r="H27" s="1" t="s">
        <v>1326</v>
      </c>
    </row>
    <row r="28" spans="2:10">
      <c r="C28" s="1" t="s">
        <v>1223</v>
      </c>
      <c r="D28" s="1" t="s">
        <v>1258</v>
      </c>
      <c r="H28" s="1" t="s">
        <v>1327</v>
      </c>
    </row>
    <row r="29" spans="2:10">
      <c r="C29" s="1" t="s">
        <v>1224</v>
      </c>
      <c r="D29" s="1" t="s">
        <v>1226</v>
      </c>
      <c r="H29" s="1" t="s">
        <v>1328</v>
      </c>
    </row>
    <row r="30" spans="2:10">
      <c r="C30" s="1" t="s">
        <v>1225</v>
      </c>
      <c r="D30" s="1" t="s">
        <v>1259</v>
      </c>
      <c r="H30" s="1" t="s">
        <v>1329</v>
      </c>
    </row>
    <row r="31" spans="2:10">
      <c r="C31" s="1" t="s">
        <v>1226</v>
      </c>
      <c r="D31" s="1" t="s">
        <v>1225</v>
      </c>
      <c r="H31" s="1" t="s">
        <v>1330</v>
      </c>
    </row>
    <row r="32" spans="2:10">
      <c r="C32" s="1" t="s">
        <v>1196</v>
      </c>
      <c r="D32" s="1" t="s">
        <v>1260</v>
      </c>
      <c r="H32" s="1" t="s">
        <v>1331</v>
      </c>
    </row>
    <row r="33" spans="3:8">
      <c r="C33" s="1" t="s">
        <v>1227</v>
      </c>
      <c r="D33" s="1" t="s">
        <v>1261</v>
      </c>
      <c r="H33" s="1" t="s">
        <v>1332</v>
      </c>
    </row>
    <row r="34" spans="3:8">
      <c r="C34" s="1" t="s">
        <v>1228</v>
      </c>
      <c r="D34" s="1" t="s">
        <v>1262</v>
      </c>
      <c r="H34" s="1" t="s">
        <v>1333</v>
      </c>
    </row>
    <row r="35" spans="3:8">
      <c r="C35" s="1" t="s">
        <v>1229</v>
      </c>
      <c r="D35" s="1" t="s">
        <v>1263</v>
      </c>
      <c r="H35" s="1" t="s">
        <v>1334</v>
      </c>
    </row>
    <row r="36" spans="3:8">
      <c r="C36" s="1" t="s">
        <v>1230</v>
      </c>
      <c r="D36" s="1" t="s">
        <v>1264</v>
      </c>
      <c r="H36" s="1" t="s">
        <v>1335</v>
      </c>
    </row>
    <row r="37" spans="3:8">
      <c r="C37" s="1" t="s">
        <v>1231</v>
      </c>
      <c r="D37" s="1" t="s">
        <v>1265</v>
      </c>
      <c r="H37" s="1" t="s">
        <v>1336</v>
      </c>
    </row>
    <row r="38" spans="3:8">
      <c r="C38" s="1" t="s">
        <v>1232</v>
      </c>
      <c r="D38" s="1" t="s">
        <v>1266</v>
      </c>
      <c r="H38" s="1" t="s">
        <v>1337</v>
      </c>
    </row>
    <row r="39" spans="3:8">
      <c r="C39" s="1" t="s">
        <v>1233</v>
      </c>
      <c r="D39" s="1" t="s">
        <v>1267</v>
      </c>
      <c r="H39" s="1" t="s">
        <v>1338</v>
      </c>
    </row>
    <row r="40" spans="3:8">
      <c r="C40" s="1" t="s">
        <v>1234</v>
      </c>
      <c r="D40" s="1" t="s">
        <v>1268</v>
      </c>
      <c r="H40" s="1" t="s">
        <v>1339</v>
      </c>
    </row>
    <row r="41" spans="3:8">
      <c r="C41" s="1" t="s">
        <v>1235</v>
      </c>
      <c r="D41" s="1" t="s">
        <v>1269</v>
      </c>
      <c r="H41" s="1" t="s">
        <v>1340</v>
      </c>
    </row>
    <row r="42" spans="3:8">
      <c r="D42" s="1" t="s">
        <v>1270</v>
      </c>
      <c r="H42" s="1" t="s">
        <v>1341</v>
      </c>
    </row>
    <row r="43" spans="3:8">
      <c r="D43" s="1" t="s">
        <v>1271</v>
      </c>
      <c r="H43" s="1" t="s">
        <v>1342</v>
      </c>
    </row>
    <row r="44" spans="3:8">
      <c r="D44" s="1" t="s">
        <v>1272</v>
      </c>
      <c r="H44" s="1" t="s">
        <v>1343</v>
      </c>
    </row>
    <row r="45" spans="3:8">
      <c r="D45" s="1" t="s">
        <v>1189</v>
      </c>
      <c r="H45" s="1" t="s">
        <v>1344</v>
      </c>
    </row>
    <row r="46" spans="3:8">
      <c r="D46" s="1" t="s">
        <v>1273</v>
      </c>
      <c r="H46" s="1" t="s">
        <v>1345</v>
      </c>
    </row>
    <row r="47" spans="3:8">
      <c r="D47" s="1" t="s">
        <v>1194</v>
      </c>
      <c r="H47" s="1" t="s">
        <v>1346</v>
      </c>
    </row>
    <row r="48" spans="3:8">
      <c r="D48" s="1" t="s">
        <v>1274</v>
      </c>
      <c r="H48" s="1" t="s">
        <v>1347</v>
      </c>
    </row>
    <row r="49" spans="4:8">
      <c r="D49" s="1" t="s">
        <v>1275</v>
      </c>
      <c r="H49" s="1" t="s">
        <v>1348</v>
      </c>
    </row>
    <row r="50" spans="4:8">
      <c r="D50" s="1" t="s">
        <v>1221</v>
      </c>
      <c r="H50" s="1" t="s">
        <v>1349</v>
      </c>
    </row>
    <row r="51" spans="4:8">
      <c r="D51" s="1" t="s">
        <v>1276</v>
      </c>
      <c r="H51" s="1" t="s">
        <v>1350</v>
      </c>
    </row>
    <row r="52" spans="4:8">
      <c r="D52" s="1" t="s">
        <v>1277</v>
      </c>
      <c r="H52" s="1" t="s">
        <v>1351</v>
      </c>
    </row>
    <row r="53" spans="4:8">
      <c r="D53" s="1" t="s">
        <v>1278</v>
      </c>
      <c r="H53" s="1" t="s">
        <v>1352</v>
      </c>
    </row>
    <row r="54" spans="4:8">
      <c r="D54" s="1" t="s">
        <v>1279</v>
      </c>
      <c r="H54" s="1" t="s">
        <v>1353</v>
      </c>
    </row>
    <row r="55" spans="4:8">
      <c r="D55" s="1" t="s">
        <v>1280</v>
      </c>
      <c r="H55" s="1" t="s">
        <v>1354</v>
      </c>
    </row>
    <row r="56" spans="4:8">
      <c r="D56" s="1" t="s">
        <v>1281</v>
      </c>
      <c r="H56" s="1" t="s">
        <v>1355</v>
      </c>
    </row>
    <row r="57" spans="4:8">
      <c r="D57" s="1" t="s">
        <v>1282</v>
      </c>
      <c r="H57" s="1" t="s">
        <v>1356</v>
      </c>
    </row>
    <row r="58" spans="4:8">
      <c r="D58" s="1" t="s">
        <v>1283</v>
      </c>
      <c r="H58" s="1" t="s">
        <v>1357</v>
      </c>
    </row>
    <row r="59" spans="4:8">
      <c r="D59" s="1" t="s">
        <v>1284</v>
      </c>
      <c r="H59" s="1" t="s">
        <v>1358</v>
      </c>
    </row>
    <row r="60" spans="4:8">
      <c r="D60" s="1" t="s">
        <v>1285</v>
      </c>
      <c r="H60" s="1" t="s">
        <v>1359</v>
      </c>
    </row>
    <row r="61" spans="4:8">
      <c r="D61" s="1" t="s">
        <v>1286</v>
      </c>
      <c r="H61" s="1" t="s">
        <v>1360</v>
      </c>
    </row>
    <row r="62" spans="4:8">
      <c r="D62" s="1" t="s">
        <v>1287</v>
      </c>
      <c r="H62" s="1" t="s">
        <v>1361</v>
      </c>
    </row>
    <row r="63" spans="4:8">
      <c r="H63" s="1" t="s">
        <v>1362</v>
      </c>
    </row>
    <row r="64" spans="4:8">
      <c r="H64" s="1" t="s">
        <v>1363</v>
      </c>
    </row>
    <row r="65" spans="8:8">
      <c r="H65" s="1" t="s">
        <v>1364</v>
      </c>
    </row>
    <row r="66" spans="8:8">
      <c r="H66" s="1" t="s">
        <v>1365</v>
      </c>
    </row>
    <row r="67" spans="8:8">
      <c r="H67" s="1" t="s">
        <v>1366</v>
      </c>
    </row>
    <row r="68" spans="8:8">
      <c r="H68" s="1" t="s">
        <v>1367</v>
      </c>
    </row>
    <row r="69" spans="8:8">
      <c r="H69" s="1" t="s">
        <v>1368</v>
      </c>
    </row>
    <row r="70" spans="8:8">
      <c r="H70" s="1" t="s">
        <v>1369</v>
      </c>
    </row>
    <row r="71" spans="8:8">
      <c r="H71" s="1" t="s">
        <v>1370</v>
      </c>
    </row>
    <row r="72" spans="8:8">
      <c r="H72" s="1" t="s">
        <v>1371</v>
      </c>
    </row>
    <row r="73" spans="8:8">
      <c r="H73" s="1" t="s">
        <v>1372</v>
      </c>
    </row>
    <row r="74" spans="8:8">
      <c r="H74" s="1" t="s">
        <v>1373</v>
      </c>
    </row>
    <row r="75" spans="8:8">
      <c r="H75" s="1" t="s">
        <v>1374</v>
      </c>
    </row>
    <row r="76" spans="8:8">
      <c r="H76" s="1" t="s">
        <v>1375</v>
      </c>
    </row>
    <row r="77" spans="8:8">
      <c r="H77" s="1" t="s">
        <v>1376</v>
      </c>
    </row>
    <row r="78" spans="8:8">
      <c r="H78" s="1" t="s">
        <v>1377</v>
      </c>
    </row>
    <row r="79" spans="8:8">
      <c r="H79" s="1" t="s">
        <v>1378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5"/>
  <sheetViews>
    <sheetView tabSelected="1" zoomScaleNormal="100" workbookViewId="0"/>
  </sheetViews>
  <sheetFormatPr defaultRowHeight="12.6"/>
  <cols>
    <col min="1" max="16384" width="8.796875" style="1"/>
  </cols>
  <sheetData>
    <row r="2" spans="2:16">
      <c r="B2" s="1" t="s">
        <v>1599</v>
      </c>
      <c r="F2" s="1" t="s">
        <v>1673</v>
      </c>
      <c r="I2" s="1" t="s">
        <v>1654</v>
      </c>
      <c r="M2" s="1" t="s">
        <v>1609</v>
      </c>
      <c r="P2" s="1" t="s">
        <v>1660</v>
      </c>
    </row>
    <row r="3" spans="2:16">
      <c r="B3" s="1" t="s">
        <v>1584</v>
      </c>
      <c r="F3" s="1" t="s">
        <v>1675</v>
      </c>
      <c r="I3" s="1" t="s">
        <v>1679</v>
      </c>
      <c r="M3" s="1" t="s">
        <v>1610</v>
      </c>
      <c r="P3" s="1" t="s">
        <v>1661</v>
      </c>
    </row>
    <row r="4" spans="2:16">
      <c r="F4" s="1" t="s">
        <v>1597</v>
      </c>
      <c r="I4" s="1" t="s">
        <v>1600</v>
      </c>
      <c r="M4" s="1" t="s">
        <v>1611</v>
      </c>
      <c r="P4" s="1" t="s">
        <v>1662</v>
      </c>
    </row>
    <row r="5" spans="2:16">
      <c r="B5" s="1" t="s">
        <v>1585</v>
      </c>
      <c r="F5" s="1" t="s">
        <v>1589</v>
      </c>
      <c r="I5" s="1" t="s">
        <v>1601</v>
      </c>
      <c r="M5" s="1" t="s">
        <v>1612</v>
      </c>
      <c r="P5" s="1" t="s">
        <v>1663</v>
      </c>
    </row>
    <row r="6" spans="2:16">
      <c r="F6" s="1" t="s">
        <v>1590</v>
      </c>
      <c r="I6" s="1" t="s">
        <v>1602</v>
      </c>
      <c r="M6" s="1" t="s">
        <v>1613</v>
      </c>
    </row>
    <row r="7" spans="2:16">
      <c r="B7" s="1" t="s">
        <v>1586</v>
      </c>
      <c r="F7" s="1" t="s">
        <v>1591</v>
      </c>
      <c r="M7" s="1" t="s">
        <v>1614</v>
      </c>
    </row>
    <row r="8" spans="2:16">
      <c r="F8" s="1" t="s">
        <v>1592</v>
      </c>
      <c r="I8" s="1" t="s">
        <v>1608</v>
      </c>
      <c r="M8" s="1" t="s">
        <v>1615</v>
      </c>
    </row>
    <row r="9" spans="2:16">
      <c r="B9" s="1" t="s">
        <v>1587</v>
      </c>
      <c r="F9" s="1" t="s">
        <v>1593</v>
      </c>
      <c r="I9" s="63"/>
      <c r="M9" s="1" t="s">
        <v>1617</v>
      </c>
    </row>
    <row r="10" spans="2:16">
      <c r="F10" s="1" t="s">
        <v>1594</v>
      </c>
      <c r="I10" s="63" t="s">
        <v>1603</v>
      </c>
      <c r="M10" s="1" t="s">
        <v>1616</v>
      </c>
    </row>
    <row r="11" spans="2:16">
      <c r="B11" s="1" t="s">
        <v>1588</v>
      </c>
      <c r="F11" s="1" t="s">
        <v>1595</v>
      </c>
      <c r="I11" s="63" t="s">
        <v>1604</v>
      </c>
    </row>
    <row r="12" spans="2:16">
      <c r="F12" s="1" t="s">
        <v>1596</v>
      </c>
      <c r="I12" s="63" t="s">
        <v>1605</v>
      </c>
      <c r="M12" s="1" t="s">
        <v>1610</v>
      </c>
    </row>
    <row r="13" spans="2:16">
      <c r="B13" s="1" t="s">
        <v>1598</v>
      </c>
      <c r="I13" s="63" t="s">
        <v>1606</v>
      </c>
      <c r="M13" s="1" t="s">
        <v>1676</v>
      </c>
    </row>
    <row r="14" spans="2:16">
      <c r="F14" s="1" t="s">
        <v>1642</v>
      </c>
      <c r="I14" s="63" t="s">
        <v>1607</v>
      </c>
      <c r="M14" s="1" t="s">
        <v>1618</v>
      </c>
    </row>
    <row r="15" spans="2:16">
      <c r="F15" s="1" t="s">
        <v>1620</v>
      </c>
      <c r="M15" s="1" t="s">
        <v>1619</v>
      </c>
    </row>
    <row r="16" spans="2:16">
      <c r="F16" s="1" t="s">
        <v>1297</v>
      </c>
      <c r="I16" s="63" t="s">
        <v>1628</v>
      </c>
      <c r="M16" s="1" t="s">
        <v>1677</v>
      </c>
    </row>
    <row r="17" spans="2:13">
      <c r="F17" s="1" t="s">
        <v>1291</v>
      </c>
      <c r="I17" s="63" t="s">
        <v>1629</v>
      </c>
      <c r="M17" s="1" t="s">
        <v>1678</v>
      </c>
    </row>
    <row r="18" spans="2:13">
      <c r="F18" s="1" t="s">
        <v>1621</v>
      </c>
      <c r="M18" s="1" t="s">
        <v>1616</v>
      </c>
    </row>
    <row r="19" spans="2:13">
      <c r="F19" s="1" t="s">
        <v>1622</v>
      </c>
    </row>
    <row r="20" spans="2:13">
      <c r="F20" s="1" t="s">
        <v>1623</v>
      </c>
    </row>
    <row r="21" spans="2:13">
      <c r="F21" s="1" t="s">
        <v>1624</v>
      </c>
    </row>
    <row r="22" spans="2:13">
      <c r="F22" s="1" t="s">
        <v>1627</v>
      </c>
    </row>
    <row r="23" spans="2:13">
      <c r="F23" s="1" t="s">
        <v>1674</v>
      </c>
    </row>
    <row r="24" spans="2:13">
      <c r="F24" s="1" t="s">
        <v>1625</v>
      </c>
    </row>
    <row r="25" spans="2:13">
      <c r="F25" s="1" t="s">
        <v>1626</v>
      </c>
    </row>
    <row r="28" spans="2:13">
      <c r="B28" s="63" t="s">
        <v>1630</v>
      </c>
    </row>
    <row r="29" spans="2:13">
      <c r="F29" s="63" t="s">
        <v>1610</v>
      </c>
      <c r="I29" s="63" t="s">
        <v>1655</v>
      </c>
    </row>
    <row r="30" spans="2:13">
      <c r="B30" s="1" t="s">
        <v>1631</v>
      </c>
      <c r="F30" s="63" t="s">
        <v>1635</v>
      </c>
      <c r="I30" s="63" t="s">
        <v>1656</v>
      </c>
    </row>
    <row r="31" spans="2:13">
      <c r="B31" s="63"/>
      <c r="F31" s="63" t="s">
        <v>1636</v>
      </c>
      <c r="I31" s="63" t="s">
        <v>1659</v>
      </c>
    </row>
    <row r="32" spans="2:13">
      <c r="B32" s="63" t="s">
        <v>1632</v>
      </c>
      <c r="F32" s="63" t="s">
        <v>1616</v>
      </c>
    </row>
    <row r="33" spans="2:9">
      <c r="B33" s="1" t="s">
        <v>1633</v>
      </c>
      <c r="F33" s="1" t="s">
        <v>1637</v>
      </c>
      <c r="I33" s="1" t="s">
        <v>1657</v>
      </c>
    </row>
    <row r="34" spans="2:9">
      <c r="B34" s="63" t="s">
        <v>1634</v>
      </c>
      <c r="F34" s="63" t="s">
        <v>1638</v>
      </c>
      <c r="I34" s="63" t="s">
        <v>1658</v>
      </c>
    </row>
    <row r="35" spans="2:9">
      <c r="F35" s="63" t="s">
        <v>1639</v>
      </c>
    </row>
    <row r="36" spans="2:9">
      <c r="F36" s="63" t="s">
        <v>1640</v>
      </c>
    </row>
    <row r="37" spans="2:9">
      <c r="F37" s="1" t="s">
        <v>1641</v>
      </c>
    </row>
    <row r="40" spans="2:9">
      <c r="B40" s="1" t="s">
        <v>1653</v>
      </c>
    </row>
    <row r="41" spans="2:9">
      <c r="B41" s="1" t="s">
        <v>1643</v>
      </c>
      <c r="G41" s="63" t="s">
        <v>1627</v>
      </c>
    </row>
    <row r="42" spans="2:9">
      <c r="B42" s="1" t="s">
        <v>1610</v>
      </c>
      <c r="G42" s="63" t="s">
        <v>1664</v>
      </c>
    </row>
    <row r="43" spans="2:9">
      <c r="B43" s="1" t="s">
        <v>1644</v>
      </c>
      <c r="G43" s="63" t="s">
        <v>1665</v>
      </c>
    </row>
    <row r="44" spans="2:9">
      <c r="B44" s="1" t="s">
        <v>1645</v>
      </c>
      <c r="G44" s="63" t="s">
        <v>1666</v>
      </c>
    </row>
    <row r="45" spans="2:9">
      <c r="B45" s="1" t="s">
        <v>1646</v>
      </c>
      <c r="G45" s="63" t="s">
        <v>1667</v>
      </c>
    </row>
    <row r="46" spans="2:9">
      <c r="B46" s="1" t="s">
        <v>1647</v>
      </c>
    </row>
    <row r="47" spans="2:9">
      <c r="G47" s="1" t="s">
        <v>1668</v>
      </c>
    </row>
    <row r="48" spans="2:9">
      <c r="B48" s="1" t="s">
        <v>1648</v>
      </c>
      <c r="G48" s="63"/>
    </row>
    <row r="49" spans="2:7">
      <c r="B49" s="1" t="s">
        <v>1649</v>
      </c>
      <c r="G49" s="63" t="s">
        <v>1669</v>
      </c>
    </row>
    <row r="50" spans="2:7">
      <c r="G50" s="63" t="s">
        <v>1670</v>
      </c>
    </row>
    <row r="51" spans="2:7">
      <c r="B51" s="1" t="s">
        <v>1650</v>
      </c>
      <c r="G51" s="63" t="s">
        <v>1671</v>
      </c>
    </row>
    <row r="53" spans="2:7">
      <c r="B53" s="1" t="s">
        <v>1651</v>
      </c>
      <c r="G53" s="1" t="s">
        <v>1672</v>
      </c>
    </row>
    <row r="54" spans="2:7">
      <c r="B54" s="1" t="s">
        <v>1652</v>
      </c>
    </row>
    <row r="55" spans="2:7">
      <c r="B55" s="1" t="s">
        <v>1616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  <vt:lpstr>public API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2026-06-28T05:58:27Z</dcterms:modified>
</cp:coreProperties>
</file>