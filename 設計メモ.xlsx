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epository\portfolio\"/>
    </mc:Choice>
  </mc:AlternateContent>
  <xr:revisionPtr revIDLastSave="0" documentId="13_ncr:1_{1B86953F-68C7-4A29-8F09-66E2D324A83A}" xr6:coauthVersionLast="47" xr6:coauthVersionMax="47" xr10:uidLastSave="{00000000-0000-0000-0000-000000000000}"/>
  <bookViews>
    <workbookView xWindow="-108" yWindow="-108" windowWidth="23256" windowHeight="12456" firstSheet="1" activeTab="9" xr2:uid="{23010AEC-8D3D-48D3-938D-B3932852B25B}"/>
  </bookViews>
  <sheets>
    <sheet name="オブジェクト" sheetId="1" r:id="rId1"/>
    <sheet name="バトルフロー" sheetId="2" r:id="rId2"/>
    <sheet name="コード" sheetId="5" r:id="rId3"/>
    <sheet name="スキル" sheetId="3" r:id="rId4"/>
    <sheet name="モンスター" sheetId="4" r:id="rId5"/>
    <sheet name="モンスタースキル" sheetId="6" r:id="rId6"/>
    <sheet name="戦績レポート" sheetId="7" r:id="rId7"/>
    <sheet name="各種設定" sheetId="8" r:id="rId8"/>
    <sheet name="guitarCrawler" sheetId="9" r:id="rId9"/>
    <sheet name="public API" sheetId="10" r:id="rId10"/>
  </sheets>
  <definedNames>
    <definedName name="_xlnm._FilterDatabase" localSheetId="3" hidden="1">スキル!$C$3:$O$3</definedName>
    <definedName name="_xlnm._FilterDatabase" localSheetId="5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40" i="5" l="1"/>
  <c r="K139" i="5"/>
  <c r="K138" i="5"/>
  <c r="K141" i="5"/>
  <c r="K104" i="5"/>
  <c r="K101" i="5"/>
  <c r="K100" i="5"/>
  <c r="K99" i="5"/>
  <c r="K98" i="5"/>
  <c r="K103" i="5"/>
  <c r="K102" i="5"/>
  <c r="K97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3" i="5"/>
  <c r="K142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K5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<sst xmlns="http://schemas.openxmlformats.org/spreadsheetml/2006/main" count="3753" uniqueCount="1680">
  <si>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</si>
  <si>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</si>
  <si>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</si>
  <si>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</si>
  <si>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</si>
  <si>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</si>
  <si>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</si>
  <si>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</si>
  <si>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</si>
  <si>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</si>
  <si>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</si>
  <si>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</si>
  <si>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</si>
  <si>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</si>
  <si>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</si>
  <si>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</si>
  <si>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</si>
  <si>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</si>
  <si>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</si>
  <si>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</si>
  <si>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</si>
  <si>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</si>
  <si>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</si>
  <si>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</si>
  <si>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</si>
  <si>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</si>
  <si>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</si>
  <si>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</si>
  <si>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</si>
  <si>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</si>
  <si>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</si>
  <si>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</si>
  <si>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</si>
  <si>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</si>
  <si>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</si>
  <si>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</si>
  <si>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</si>
  <si>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</si>
  <si>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</si>
  <si>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</si>
  <si>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</si>
  <si>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</si>
  <si>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</si>
  <si>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</si>
  <si>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</si>
  <si>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</si>
  <si>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</si>
  <si>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</si>
  <si>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</si>
  <si>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</si>
  <si>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</si>
  <si>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</si>
  <si>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</si>
  <si>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</si>
  <si>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</si>
  <si>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</si>
  <si>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</si>
  <si>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</si>
  <si>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</si>
  <si>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</si>
  <si>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</si>
  <si>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</si>
  <si>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</si>
  <si>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</si>
  <si>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</si>
  <si>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</si>
  <si>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</si>
  <si>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</si>
  <si>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</si>
  <si>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</si>
  <si>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</si>
  <si>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</si>
  <si>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</si>
  <si>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</si>
  <si>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</si>
  <si>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</si>
  <si>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</si>
  <si>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</si>
  <si>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</si>
  <si>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</si>
  <si>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</si>
  <si>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</si>
  <si>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</si>
  <si>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</si>
  <si>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</si>
  <si>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</si>
  <si>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</si>
  <si>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</si>
  <si>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</si>
  <si>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</si>
  <si>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</si>
  <si>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</si>
  <si>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</si>
  <si>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</si>
  <si>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</si>
  <si>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</si>
  <si>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</si>
  <si>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</si>
  <si>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</si>
  <si>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</si>
  <si>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</si>
  <si>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</si>
  <si>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</si>
  <si>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</si>
  <si>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</si>
  <si>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</si>
  <si>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</si>
  <si>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</si>
  <si>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</si>
  <si>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</si>
  <si>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</si>
  <si>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</si>
  <si>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</si>
  <si>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</si>
  <si>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</si>
  <si>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</si>
  <si>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</si>
  <si>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</si>
  <si>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</si>
  <si>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</si>
  <si>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</si>
  <si>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</si>
  <si>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</si>
  <si>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</si>
  <si>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</si>
  <si>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</si>
  <si>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</si>
  <si>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</si>
  <si>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</si>
  <si>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</si>
  <si>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</si>
  <si>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</si>
  <si>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</si>
  <si>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</si>
  <si>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</si>
  <si>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</si>
  <si>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</si>
  <si>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</si>
  <si>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</si>
  <si>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</si>
  <si>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</si>
  <si>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</si>
  <si>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</si>
  <si>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</si>
  <si>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</si>
  <si>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</si>
  <si>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</si>
  <si>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</si>
  <si>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</si>
  <si>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</si>
  <si>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</si>
  <si>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</si>
  <si>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</si>
  <si>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</si>
  <si>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</si>
  <si>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</si>
  <si>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</si>
  <si>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</si>
  <si>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</si>
  <si>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</si>
  <si>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</si>
  <si>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</si>
  <si>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</si>
  <si>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</si>
  <si>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</si>
  <si>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</si>
  <si>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</si>
  <si>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</si>
  <si>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</si>
  <si>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</si>
  <si>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</si>
  <si>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</si>
  <si>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</si>
  <si>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</si>
  <si>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</si>
  <si>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</si>
  <si>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</si>
  <si>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</si>
  <si>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</si>
  <si>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</si>
  <si>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</si>
  <si>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</si>
  <si>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</si>
  <si>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</si>
  <si>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</si>
  <si>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</si>
  <si>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</si>
  <si>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</si>
  <si>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</si>
  <si>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</si>
  <si>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</si>
  <si>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</si>
  <si>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</si>
  <si>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</si>
  <si>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</si>
  <si>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</si>
  <si>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</si>
  <si>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</si>
  <si>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</si>
  <si>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</si>
  <si>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</si>
  <si>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</si>
  <si>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</si>
  <si>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</si>
  <si>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</si>
  <si>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</si>
  <si>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</si>
  <si>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</si>
  <si>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</si>
  <si>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</si>
  <si>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</si>
  <si>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</si>
  <si>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</si>
  <si>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</si>
  <si>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</si>
  <si>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</si>
  <si>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</si>
  <si>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</si>
  <si>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</si>
  <si>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</si>
  <si>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</si>
  <si>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</si>
  <si>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</si>
  <si>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</si>
  <si>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</si>
  <si>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</si>
  <si>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</si>
  <si>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</si>
  <si>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</si>
  <si>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</si>
  <si>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</si>
  <si>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</si>
  <si>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</si>
  <si>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</si>
  <si>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</si>
  <si>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</si>
  <si>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</si>
  <si>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</si>
  <si>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</si>
  <si>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</si>
  <si>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</si>
  <si>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</si>
  <si>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</si>
  <si>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</si>
  <si>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</si>
  <si>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</si>
  <si>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</si>
  <si>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</si>
  <si>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</si>
  <si>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</si>
  <si>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</si>
  <si>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</si>
  <si>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</si>
  <si>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</si>
  <si>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</si>
  <si>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</si>
  <si>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</si>
  <si>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</si>
  <si>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</si>
  <si>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</si>
  <si>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</si>
  <si>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</si>
  <si>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</si>
  <si>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</si>
  <si>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</si>
  <si>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</si>
  <si>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</si>
  <si>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</si>
  <si>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</si>
  <si>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</si>
  <si>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</si>
  <si>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</si>
  <si>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</si>
  <si>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</si>
  <si>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</si>
  <si>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</si>
  <si>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</si>
  <si>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</si>
  <si>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</si>
  <si>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</si>
  <si>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</si>
  <si>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</si>
  <si>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</si>
  <si>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</si>
  <si>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</si>
  <si>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</si>
  <si>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</si>
  <si>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</si>
  <si>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</si>
  <si>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</si>
  <si>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</si>
  <si>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</si>
  <si>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</si>
  <si>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</si>
  <si>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</si>
  <si>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</si>
  <si>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</si>
  <si>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</si>
  <si>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</si>
  <si>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</si>
  <si>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</si>
  <si>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</si>
  <si>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</si>
  <si>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</si>
  <si>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</si>
  <si>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</si>
  <si>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</si>
  <si>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</si>
  <si>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</si>
  <si>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</si>
  <si>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</si>
  <si>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</si>
  <si>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</si>
  <si>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</si>
  <si>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</si>
  <si>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</si>
  <si>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</si>
  <si>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</si>
  <si>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</si>
  <si>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</si>
  <si>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</si>
  <si>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</si>
  <si>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</si>
  <si>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</si>
  <si>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</si>
  <si>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</si>
  <si>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</si>
  <si>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</si>
  <si>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</si>
  <si>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</si>
  <si>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</si>
  <si>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</si>
  <si>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</si>
  <si>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</si>
  <si>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</si>
  <si>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</si>
  <si>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</si>
  <si>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</si>
  <si>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</si>
  <si>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</si>
  <si>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</si>
  <si>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</si>
  <si>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</si>
  <si>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</si>
  <si>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</si>
  <si>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</si>
  <si>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</si>
  <si>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</si>
  <si>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</si>
  <si>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</si>
  <si>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</si>
  <si>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</si>
  <si>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</si>
  <si>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</si>
  <si>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</si>
  <si>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</si>
  <si>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</si>
  <si>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</si>
  <si>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</si>
  <si>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</si>
  <si>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</si>
  <si>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</si>
  <si>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</si>
  <si>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</si>
  <si>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</si>
  <si>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</si>
  <si>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</si>
  <si>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</si>
  <si>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</si>
  <si>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</si>
  <si>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</si>
  <si>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</si>
  <si>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</si>
  <si>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</si>
  <si>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</si>
  <si>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</si>
  <si>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</si>
  <si>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</si>
  <si>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</si>
  <si>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</si>
  <si>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</si>
  <si>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</si>
  <si>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</si>
  <si>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</si>
  <si>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</si>
  <si>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</si>
  <si>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</si>
  <si>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</si>
  <si>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</si>
  <si>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</si>
  <si>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</si>
  <si>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</si>
  <si>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</si>
  <si>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</si>
  <si>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</si>
  <si>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</si>
  <si>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</si>
  <si>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</si>
  <si>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</si>
  <si>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</si>
  <si>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</si>
  <si>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</si>
  <si>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</si>
  <si>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</si>
  <si>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</si>
  <si>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</si>
  <si>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</si>
  <si>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</si>
  <si>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</si>
  <si>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</si>
  <si>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</si>
  <si>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</si>
  <si>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</si>
  <si>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</si>
  <si>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</si>
  <si>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</si>
  <si>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code</t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</si>
  <si>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</si>
  <si>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</si>
  <si>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</si>
  <si>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</si>
  <si>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</si>
  <si>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</si>
  <si>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</si>
  <si>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</si>
  <si>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</si>
  <si>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</si>
  <si>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</si>
  <si>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</si>
  <si>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</si>
  <si>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</si>
  <si>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</si>
  <si>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</si>
  <si>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</si>
  <si>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</si>
  <si>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</si>
  <si>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</si>
  <si>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</si>
  <si>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</si>
  <si>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</si>
  <si>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</si>
  <si>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</si>
  <si>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</si>
  <si>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</si>
  <si>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</si>
  <si>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</si>
  <si>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</si>
  <si>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</si>
  <si>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</si>
  <si>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</si>
  <si>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</si>
  <si>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</si>
  <si>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</si>
  <si>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</si>
  <si>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</si>
  <si>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</si>
  <si>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</si>
  <si>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</si>
  <si>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</si>
  <si>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</si>
  <si>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</si>
  <si>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</si>
  <si>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</si>
  <si>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</si>
  <si>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</si>
  <si>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</si>
  <si>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</si>
  <si>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</si>
  <si>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</si>
  <si>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</si>
  <si>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</si>
  <si>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</si>
  <si>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</si>
  <si>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</si>
  <si>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</si>
  <si>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</si>
  <si>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</si>
  <si>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</si>
  <si>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</si>
  <si>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</si>
  <si>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</si>
  <si>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</si>
  <si>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</si>
  <si>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</si>
  <si>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</si>
  <si>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</si>
  <si>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</si>
  <si>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</si>
  <si>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</si>
  <si>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</si>
  <si>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</si>
  <si>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</si>
  <si>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</si>
  <si>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</si>
  <si>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</si>
  <si>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</si>
  <si>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</si>
  <si>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</si>
  <si>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</si>
  <si>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</si>
  <si>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</si>
  <si>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</si>
  <si>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</si>
  <si>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</si>
  <si>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code001</t>
    <phoneticPr fontId="2"/>
  </si>
  <si>
    <t>code002</t>
    <phoneticPr fontId="2"/>
  </si>
  <si>
    <t>code003</t>
    <phoneticPr fontId="2"/>
  </si>
  <si>
    <t>code004</t>
    <phoneticPr fontId="2"/>
  </si>
  <si>
    <t>code005</t>
    <phoneticPr fontId="2"/>
  </si>
  <si>
    <t>code006</t>
    <phoneticPr fontId="2"/>
  </si>
  <si>
    <t>code007</t>
    <phoneticPr fontId="2"/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</si>
  <si>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</si>
  <si>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</si>
  <si>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</si>
  <si>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</si>
  <si>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</si>
  <si>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</si>
  <si>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</si>
  <si>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</si>
  <si>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</si>
  <si>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</si>
  <si>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</si>
  <si>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</si>
  <si>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</si>
  <si>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</si>
  <si>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</si>
  <si>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</si>
  <si>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</si>
  <si>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</si>
  <si>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</si>
  <si>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</si>
  <si>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</si>
  <si>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</si>
  <si>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</si>
  <si>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</si>
  <si>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</si>
  <si>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</si>
  <si>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</si>
  <si>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</si>
  <si>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</si>
  <si>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</si>
  <si>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</si>
  <si>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</si>
  <si>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</si>
  <si>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</si>
  <si>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</si>
  <si>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</si>
  <si>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</si>
  <si>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</si>
  <si>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</si>
  <si>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</si>
  <si>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</si>
  <si>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</si>
  <si>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</si>
  <si>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</si>
  <si>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</si>
  <si>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</si>
  <si>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</si>
  <si>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</si>
  <si>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</si>
  <si>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</si>
  <si>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</si>
  <si>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</si>
  <si>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</si>
  <si>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</si>
  <si>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</si>
  <si>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</si>
  <si>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</si>
  <si>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</si>
  <si>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</si>
  <si>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</si>
  <si>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</si>
  <si>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</si>
  <si>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</si>
  <si>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</si>
  <si>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</si>
  <si>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</si>
  <si>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</si>
  <si>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</si>
  <si>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</si>
  <si>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</si>
  <si>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</si>
  <si>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</si>
  <si>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</si>
  <si>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</si>
  <si>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</si>
  <si>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</si>
  <si>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</si>
  <si>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</si>
  <si>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</si>
  <si>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</si>
  <si>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</si>
  <si>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</si>
  <si>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</si>
  <si>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</si>
  <si>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</si>
  <si>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</si>
  <si>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</si>
  <si>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</si>
  <si>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</si>
  <si>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</si>
  <si>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</si>
  <si>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</si>
  <si>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</si>
  <si>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</si>
  <si>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</si>
  <si>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</si>
  <si>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</si>
  <si>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</si>
  <si>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</si>
  <si>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</si>
  <si>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</si>
  <si>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</si>
  <si>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</si>
  <si>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</si>
  <si>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</si>
  <si>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</si>
  <si>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</si>
  <si>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</si>
  <si>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</si>
  <si>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</si>
  <si>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</si>
  <si>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</si>
  <si>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</si>
  <si>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</si>
  <si>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</si>
  <si>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</si>
  <si>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</si>
  <si>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</si>
  <si>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</si>
  <si>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</si>
  <si>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</si>
  <si>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</si>
  <si>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</si>
  <si>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</si>
  <si>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</si>
  <si>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</si>
  <si>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</si>
  <si>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</si>
  <si>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</si>
  <si>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</si>
  <si>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</si>
  <si>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</si>
  <si>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</si>
  <si>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</si>
  <si>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</si>
  <si>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</si>
  <si>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</si>
  <si>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</si>
  <si>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</si>
  <si>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</si>
  <si>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</si>
  <si>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</si>
  <si>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</si>
  <si>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</si>
  <si>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</si>
  <si>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</si>
  <si>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</si>
  <si>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</si>
  <si>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</si>
  <si>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</si>
  <si>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</si>
  <si>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</si>
  <si>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</si>
  <si>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</si>
  <si>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</si>
  <si>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</si>
  <si>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</si>
  <si>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</si>
  <si>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</si>
  <si>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</si>
  <si>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</si>
  <si>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</si>
  <si>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</si>
  <si>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</si>
  <si>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</si>
  <si>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</si>
  <si>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</si>
  <si>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</si>
  <si>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</si>
  <si>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</si>
  <si>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</si>
  <si>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</si>
  <si>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</si>
  <si>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</si>
  <si>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</si>
  <si>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</si>
  <si>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</si>
  <si>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</si>
  <si>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</si>
  <si>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</si>
  <si>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</si>
  <si>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</si>
  <si>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</si>
  <si>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</si>
  <si>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</si>
  <si>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</si>
  <si>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</si>
  <si>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</si>
  <si>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</si>
  <si>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</si>
  <si>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</si>
  <si>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</si>
  <si>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</si>
  <si>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</si>
  <si>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</si>
  <si>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</si>
  <si>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</si>
  <si>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</si>
  <si>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</si>
  <si>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</si>
  <si>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</si>
  <si>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</si>
  <si>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</si>
  <si>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</si>
  <si>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</si>
  <si>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</si>
  <si>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</si>
  <si>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</si>
  <si>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</si>
  <si>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</si>
  <si>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</si>
  <si>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</si>
  <si>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</si>
  <si>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</si>
  <si>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</si>
  <si>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</si>
  <si>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</si>
  <si>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</si>
  <si>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</si>
  <si>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</si>
  <si>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</si>
  <si>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</si>
  <si>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</si>
  <si>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</si>
  <si>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</si>
  <si>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</si>
  <si>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</si>
  <si>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</si>
  <si>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</si>
  <si>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</si>
  <si>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</si>
  <si>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</si>
  <si>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</si>
  <si>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</si>
  <si>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</si>
  <si>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</si>
  <si>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</si>
  <si>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</si>
  <si>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</si>
  <si>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</si>
  <si>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</si>
  <si>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</si>
  <si>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</si>
  <si>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</si>
  <si>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</si>
  <si>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</si>
  <si>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</si>
  <si>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</si>
  <si>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</si>
  <si>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</si>
  <si>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</si>
  <si>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</si>
  <si>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</si>
  <si>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</si>
  <si>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</si>
  <si>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</si>
  <si>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</si>
  <si>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</si>
  <si>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</si>
  <si>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</si>
  <si>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</si>
  <si>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</si>
  <si>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</si>
  <si>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</si>
  <si>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</si>
  <si>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</si>
  <si>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</si>
  <si>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</si>
  <si>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</si>
  <si>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</si>
  <si>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</si>
  <si>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</si>
  <si>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</si>
  <si>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</si>
  <si>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</si>
  <si>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</si>
  <si>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</si>
  <si>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</si>
  <si>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</si>
  <si>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</si>
  <si>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</si>
  <si>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</si>
  <si>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</si>
  <si>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</si>
  <si>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</si>
  <si>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</si>
  <si>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</si>
  <si>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</si>
  <si>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</si>
  <si>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</si>
  <si>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</si>
  <si>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</si>
  <si>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</si>
  <si>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</si>
  <si>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</si>
  <si>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</si>
  <si>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</si>
  <si>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</si>
  <si>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</si>
  <si>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</si>
  <si>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</si>
  <si>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</si>
  <si>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</si>
  <si>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</si>
  <si>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</si>
  <si>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</si>
  <si>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</si>
  <si>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</si>
  <si>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</si>
  <si>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</si>
  <si>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</si>
  <si>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</si>
  <si>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</si>
  <si>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</si>
  <si>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</si>
  <si>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</si>
  <si>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</si>
  <si>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</si>
  <si>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</si>
  <si>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</si>
  <si>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</si>
  <si>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</si>
  <si>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</si>
  <si>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</si>
  <si>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</si>
  <si>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</si>
  <si>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</si>
  <si>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</si>
  <si>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</si>
  <si>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</si>
  <si>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</si>
  <si>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</si>
  <si>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</si>
  <si>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</si>
  <si>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</si>
  <si>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</si>
  <si>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</si>
  <si>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</si>
  <si>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</si>
  <si>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</si>
  <si>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</si>
  <si>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</si>
  <si>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</si>
  <si>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</si>
  <si>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</si>
  <si>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</si>
  <si>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</si>
  <si>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</si>
  <si>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</si>
  <si>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</si>
  <si>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</si>
  <si>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</si>
  <si>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</si>
  <si>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</si>
  <si>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</si>
  <si>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</si>
  <si>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</si>
  <si>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</si>
  <si>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</si>
  <si>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</si>
  <si>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</si>
  <si>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</si>
  <si>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</si>
  <si>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</si>
  <si>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</si>
  <si>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</si>
  <si>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</si>
  <si>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</si>
  <si>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</si>
  <si>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</si>
  <si>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</si>
  <si>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</si>
  <si>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</si>
  <si>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</si>
  <si>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</si>
  <si>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</si>
  <si>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</si>
  <si>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</si>
  <si>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</si>
  <si>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</si>
  <si>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</si>
  <si>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</si>
  <si>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</si>
  <si>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</si>
  <si>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</si>
  <si>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</si>
  <si>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</si>
  <si>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</si>
  <si>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</si>
  <si>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</si>
  <si>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</si>
  <si>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</si>
  <si>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</si>
  <si>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</si>
  <si>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</si>
  <si>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</si>
  <si>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</si>
  <si>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</si>
  <si>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</si>
  <si>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</si>
  <si>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</si>
  <si>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</si>
  <si>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</si>
  <si>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</si>
  <si>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</si>
  <si>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</si>
  <si>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</si>
  <si>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</si>
  <si>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</si>
  <si>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</si>
  <si>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</si>
  <si>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</si>
  <si>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</si>
  <si>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</si>
  <si>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</si>
  <si>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</si>
  <si>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</si>
  <si>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</si>
  <si>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</si>
  <si>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</si>
  <si>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</si>
  <si>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</si>
  <si>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</si>
  <si>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</si>
  <si>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</si>
  <si>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</si>
  <si>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</si>
  <si>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</si>
  <si>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</si>
  <si>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</si>
  <si>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</si>
  <si>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</si>
  <si>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</si>
  <si>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</si>
  <si>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</si>
  <si>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</si>
  <si>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</si>
  <si>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</si>
  <si>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</si>
  <si>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</si>
  <si>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</si>
  <si>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</si>
  <si>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</si>
  <si>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</si>
  <si>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</si>
  <si>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</si>
  <si>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</si>
  <si>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</si>
  <si>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</si>
  <si>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</si>
  <si>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</si>
  <si>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</si>
  <si>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</si>
  <si>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</si>
  <si>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</si>
  <si>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</si>
  <si>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</si>
  <si>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</si>
  <si>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</si>
  <si>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</si>
  <si>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</si>
  <si>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</si>
  <si>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</si>
  <si>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</si>
  <si>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</si>
  <si>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</si>
  <si>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</si>
  <si>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</si>
  <si>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</si>
  <si>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</si>
  <si>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</si>
  <si>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</si>
  <si>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</si>
  <si>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</si>
  <si>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</si>
  <si>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</si>
  <si>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</si>
  <si>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</si>
  <si>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</si>
  <si>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</si>
  <si>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</si>
  <si>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</si>
  <si>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</si>
  <si>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</si>
  <si>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</si>
  <si>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</si>
  <si>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</si>
  <si>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</si>
  <si>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</si>
  <si>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</si>
  <si>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</si>
  <si>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</si>
  <si>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</si>
  <si>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</si>
  <si>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</si>
  <si>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</si>
  <si>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</si>
  <si>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</si>
  <si>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</si>
  <si>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</si>
  <si>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</si>
  <si>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</si>
  <si>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</si>
  <si>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</si>
  <si>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</si>
  <si>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</si>
  <si>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</si>
  <si>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</si>
  <si>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</si>
  <si>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</si>
  <si>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</si>
  <si>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</si>
  <si>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</si>
  <si>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</si>
  <si>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</si>
  <si>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</si>
  <si>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</si>
  <si>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</si>
  <si>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</si>
  <si>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</si>
  <si>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</si>
  <si>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</si>
  <si>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</si>
  <si>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</si>
  <si>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</si>
  <si>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</si>
  <si>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</si>
  <si>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</si>
  <si>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</si>
  <si>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</si>
  <si>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</si>
  <si>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</si>
  <si>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</si>
  <si>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</si>
  <si>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</si>
  <si>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</si>
  <si>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</si>
  <si>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</si>
  <si>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</si>
  <si>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</si>
  <si>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</si>
  <si>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</si>
  <si>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</si>
  <si>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</si>
  <si>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</si>
  <si>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</si>
  <si>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</si>
  <si>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</si>
  <si>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</si>
  <si>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</si>
  <si>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</si>
  <si>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</si>
  <si>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</si>
  <si>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</si>
  <si>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</si>
  <si>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</si>
  <si>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</si>
  <si>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</si>
  <si>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</si>
  <si>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</si>
  <si>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</si>
  <si>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</si>
  <si>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</si>
  <si>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</si>
  <si>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</si>
  <si>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</si>
  <si>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</si>
  <si>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</si>
  <si>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</si>
  <si>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</si>
  <si>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</si>
  <si>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</si>
  <si>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</si>
  <si>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</si>
  <si>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</si>
  <si>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</si>
  <si>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</si>
  <si>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</si>
  <si>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</si>
  <si>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</si>
  <si>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</si>
  <si>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</si>
  <si>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</si>
  <si>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</si>
  <si>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</si>
  <si>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</si>
  <si>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</si>
  <si>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</si>
  <si>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</si>
  <si>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</si>
  <si>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</si>
  <si>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</si>
  <si>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</si>
  <si>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</si>
  <si>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</si>
  <si>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</si>
  <si>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</si>
  <si>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</si>
  <si>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</si>
  <si>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</si>
  <si>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</si>
  <si>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</si>
  <si>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</si>
  <si>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</si>
  <si>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</si>
  <si>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</si>
  <si>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</si>
  <si>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code008</t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</si>
  <si>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</si>
  <si>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</si>
  <si>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</si>
  <si>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</si>
  <si>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</si>
  <si>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</si>
  <si>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</si>
  <si>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</si>
  <si>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</si>
  <si>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</si>
  <si>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</si>
  <si>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</si>
  <si>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</si>
  <si>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</si>
  <si>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</si>
  <si>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</si>
  <si>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</si>
  <si>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</si>
  <si>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</si>
  <si>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</si>
  <si>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</si>
  <si>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</si>
  <si>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</si>
  <si>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</si>
  <si>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</si>
  <si>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</si>
  <si>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</si>
  <si>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</si>
  <si>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</si>
  <si>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</si>
  <si>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</si>
  <si>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</si>
  <si>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</si>
  <si>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</si>
  <si>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</si>
  <si>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</si>
  <si>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</si>
  <si>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</si>
  <si>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</si>
  <si>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</si>
  <si>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</si>
  <si>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</si>
  <si>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</si>
  <si>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</si>
  <si>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</si>
  <si>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</si>
  <si>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</si>
  <si>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</si>
  <si>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</si>
  <si>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</si>
  <si>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</si>
  <si>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</si>
  <si>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</si>
  <si>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</si>
  <si>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</si>
  <si>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</si>
  <si>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</si>
  <si>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</si>
  <si>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</si>
  <si>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</si>
  <si>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</si>
  <si>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</si>
  <si>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</si>
  <si>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</si>
  <si>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</si>
  <si>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</si>
  <si>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</si>
  <si>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</si>
  <si>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</si>
  <si>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</si>
  <si>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</si>
  <si>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</si>
  <si>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</si>
  <si>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</si>
  <si>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</si>
  <si>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</si>
  <si>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</si>
  <si>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</si>
  <si>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</si>
  <si>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</si>
  <si>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</si>
  <si>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</si>
  <si>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</si>
  <si>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</si>
  <si>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</si>
  <si>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</si>
  <si>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</si>
  <si>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</si>
  <si>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</si>
  <si>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</si>
  <si>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</si>
  <si>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</si>
  <si>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</si>
  <si>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</si>
  <si>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</si>
  <si>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</si>
  <si>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</si>
  <si>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</si>
  <si>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</si>
  <si>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</si>
  <si>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</si>
  <si>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</si>
  <si>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</si>
  <si>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</si>
  <si>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</si>
  <si>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</si>
  <si>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</si>
  <si>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</si>
  <si>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</si>
  <si>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</si>
  <si>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</si>
  <si>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</si>
  <si>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</si>
  <si>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</si>
  <si>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</si>
  <si>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</si>
  <si>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</si>
  <si>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</si>
  <si>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</si>
  <si>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</si>
  <si>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</si>
  <si>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</si>
  <si>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</si>
  <si>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</si>
  <si>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</si>
  <si>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</si>
  <si>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</si>
  <si>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</si>
  <si>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</si>
  <si>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</si>
  <si>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</si>
  <si>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</si>
  <si>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</si>
  <si>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</si>
  <si>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</si>
  <si>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</si>
  <si>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</si>
  <si>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</si>
  <si>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</si>
  <si>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</si>
  <si>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</si>
  <si>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</si>
  <si>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</si>
  <si>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</si>
  <si>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</si>
  <si>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</si>
  <si>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</si>
  <si>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</si>
  <si>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</si>
  <si>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</si>
  <si>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</si>
  <si>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</si>
  <si>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</si>
  <si>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</si>
  <si>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</si>
  <si>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</si>
  <si>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</si>
  <si>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</si>
  <si>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</si>
  <si>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</si>
  <si>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</si>
  <si>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</si>
  <si>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</si>
  <si>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</si>
  <si>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</si>
  <si>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</si>
  <si>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</si>
  <si>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</si>
  <si>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</si>
  <si>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</si>
  <si>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</si>
  <si>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</si>
  <si>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</si>
  <si>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</si>
  <si>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</si>
  <si>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</si>
  <si>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</si>
  <si>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</si>
  <si>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</si>
  <si>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</si>
  <si>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</si>
  <si>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</si>
  <si>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</si>
  <si>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</si>
  <si>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</si>
  <si>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</si>
  <si>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</si>
  <si>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</si>
  <si>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</si>
  <si>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</si>
  <si>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</si>
  <si>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</si>
  <si>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</si>
  <si>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</si>
  <si>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</si>
  <si>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</si>
  <si>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</si>
  <si>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</si>
  <si>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</si>
  <si>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</si>
  <si>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</si>
  <si>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</si>
  <si>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</si>
  <si>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</si>
  <si>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</si>
  <si>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</si>
  <si>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</si>
  <si>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</si>
  <si>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</si>
  <si>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</si>
  <si>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</si>
  <si>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</si>
  <si>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</si>
  <si>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</si>
  <si>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</si>
  <si>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</si>
  <si>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</si>
  <si>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</si>
  <si>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</si>
  <si>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</si>
  <si>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</si>
  <si>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</si>
  <si>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</si>
  <si>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</si>
  <si>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</si>
  <si>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</si>
  <si>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</si>
  <si>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</si>
  <si>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</si>
  <si>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</si>
  <si>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</si>
  <si>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</si>
  <si>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</si>
  <si>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</si>
  <si>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</si>
  <si>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</si>
  <si>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</si>
  <si>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</si>
  <si>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</si>
  <si>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</si>
  <si>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</si>
  <si>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</si>
  <si>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</si>
  <si>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</si>
  <si>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</si>
  <si>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</si>
  <si>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</si>
  <si>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</si>
  <si>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</si>
  <si>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</si>
  <si>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</si>
  <si>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</si>
  <si>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</si>
  <si>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</si>
  <si>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</si>
  <si>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</si>
  <si>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</si>
  <si>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</si>
  <si>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</si>
  <si>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</si>
  <si>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</si>
  <si>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</si>
  <si>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</si>
  <si>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</si>
  <si>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</si>
  <si>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</si>
  <si>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</si>
  <si>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</si>
  <si>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</si>
  <si>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</si>
  <si>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</si>
  <si>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</si>
  <si>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</si>
  <si>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</si>
  <si>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</si>
  <si>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</si>
  <si>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code009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</si>
  <si>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</si>
  <si>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</si>
  <si>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</si>
  <si>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</si>
  <si>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</si>
  <si>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</si>
  <si>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</si>
  <si>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</si>
  <si>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</si>
  <si>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</si>
  <si>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</si>
  <si>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</si>
  <si>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</si>
  <si>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</si>
  <si>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</si>
  <si>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</si>
  <si>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</si>
  <si>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</si>
  <si>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</si>
  <si>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</si>
  <si>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</si>
  <si>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</si>
  <si>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</si>
  <si>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</si>
  <si>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</si>
  <si>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</si>
  <si>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</si>
  <si>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</si>
  <si>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</si>
  <si>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</si>
  <si>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</si>
  <si>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code010</t>
    <phoneticPr fontId="2"/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</si>
  <si>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</si>
  <si>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</si>
  <si>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</si>
  <si>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</si>
  <si>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</si>
  <si>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</si>
  <si>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</si>
  <si>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</si>
  <si>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</si>
  <si>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</si>
  <si>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</si>
  <si>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</si>
  <si>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</si>
  <si>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</si>
  <si>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</si>
  <si>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</si>
  <si>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</si>
  <si>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</si>
  <si>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</si>
  <si>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</si>
  <si>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</si>
  <si>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</si>
  <si>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</si>
  <si>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</si>
  <si>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</si>
  <si>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</si>
  <si>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</si>
  <si>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</si>
  <si>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</si>
  <si>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</si>
  <si>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</si>
  <si>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</si>
  <si>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</si>
  <si>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</si>
  <si>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</si>
  <si>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</si>
  <si>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</si>
  <si>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</si>
  <si>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</si>
  <si>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</si>
  <si>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</si>
  <si>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</si>
  <si>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</si>
  <si>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</si>
  <si>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</si>
  <si>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</si>
  <si>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</si>
  <si>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</si>
  <si>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</si>
  <si>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</si>
  <si>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</si>
  <si>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</si>
  <si>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</si>
  <si>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</si>
  <si>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</si>
  <si>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</si>
  <si>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</si>
  <si>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</si>
  <si>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</si>
  <si>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</si>
  <si>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</si>
  <si>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</si>
  <si>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</si>
  <si>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</si>
  <si>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</si>
  <si>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</si>
  <si>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</si>
  <si>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</si>
  <si>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</si>
  <si>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</si>
  <si>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</si>
  <si>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</si>
  <si>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</si>
  <si>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</si>
  <si>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</si>
  <si>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</si>
  <si>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省略</t>
    <rPh sb="0" eb="2">
      <t>ショウリャク</t>
    </rPh>
    <phoneticPr fontId="2"/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</si>
  <si>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</si>
  <si>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</si>
  <si>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</si>
  <si>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</si>
  <si>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</si>
  <si>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</si>
  <si>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</si>
  <si>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</si>
  <si>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</si>
  <si>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</si>
  <si>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</si>
  <si>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</si>
  <si>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</si>
  <si>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</si>
  <si>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</si>
  <si>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</si>
  <si>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</si>
  <si>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</si>
  <si>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</si>
  <si>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</si>
  <si>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</si>
  <si>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</si>
  <si>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</si>
  <si>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</si>
  <si>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</si>
  <si>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</si>
  <si>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</si>
  <si>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code011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</si>
  <si>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</si>
  <si>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</si>
  <si>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</si>
  <si>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</si>
  <si>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</si>
  <si>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</si>
  <si>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</si>
  <si>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</si>
  <si>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</si>
  <si>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</si>
  <si>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</si>
  <si>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</si>
  <si>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</si>
  <si>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</si>
  <si>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</si>
  <si>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</si>
  <si>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</si>
  <si>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</si>
  <si>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</si>
  <si>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</si>
  <si>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</si>
  <si>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</si>
  <si>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</si>
  <si>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</si>
  <si>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</si>
  <si>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</si>
  <si>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</si>
  <si>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</si>
  <si>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</si>
  <si>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</si>
  <si>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</si>
  <si>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</si>
  <si>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</si>
  <si>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</si>
  <si>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</si>
  <si>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</si>
  <si>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</si>
  <si>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</si>
  <si>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</si>
  <si>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</si>
  <si>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</si>
  <si>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</si>
  <si>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</si>
  <si>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</si>
  <si>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</si>
  <si>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</si>
  <si>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</si>
  <si>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</si>
  <si>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</si>
  <si>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</si>
  <si>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</si>
  <si>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</si>
  <si>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</si>
  <si>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</si>
  <si>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</si>
  <si>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</si>
  <si>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</si>
  <si>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&amp;color=Blue</t>
  </si>
  <si>
    <t>&amp;bodyMaterial=Mahogany</t>
  </si>
  <si>
    <t>&amp;name=player</t>
  </si>
  <si>
    <t>&amp;minPrice=100000</t>
  </si>
  <si>
    <t>&amp;maxPrice=300000</t>
  </si>
  <si>
    <t>&amp;page=1</t>
  </si>
  <si>
    <t>&amp;pageSize=20</t>
  </si>
  <si>
    <t>?maker=Fender</t>
    <phoneticPr fontId="2"/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</si>
  <si>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</si>
  <si>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</si>
  <si>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GET /api/series</t>
  </si>
  <si>
    <t>GET /api/colors</t>
  </si>
  <si>
    <t>GET /api/body-materials</t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</si>
  <si>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</si>
  <si>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</si>
  <si>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</si>
  <si>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</si>
  <si>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</si>
  <si>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</si>
  <si>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</si>
  <si>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</si>
  <si>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</si>
  <si>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</si>
  <si>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</si>
  <si>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</si>
  <si>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</si>
  <si>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</si>
  <si>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</si>
  <si>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</si>
  <si>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</si>
  <si>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manufacturer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</si>
  <si>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</si>
  <si>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</si>
  <si>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</si>
  <si>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</si>
  <si>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</si>
  <si>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</si>
  <si>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</si>
  <si>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</si>
  <si>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GET /api/guitars/random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</si>
  <si>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</si>
  <si>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</si>
  <si>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</si>
  <si>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</si>
  <si>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</si>
  <si>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</si>
  <si>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</si>
  <si>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</si>
  <si>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</si>
  <si>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</si>
  <si>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</si>
  <si>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</si>
  <si>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</si>
  <si>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</si>
  <si>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Manufacturer { get; set; }</t>
  </si>
  <si>
    <t>public string? Series { get; set; }</t>
  </si>
  <si>
    <t>public string? Color { get; set; }</t>
  </si>
  <si>
    <t>public string? BodyMaterial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</si>
  <si>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</si>
  <si>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</si>
  <si>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</si>
  <si>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</si>
  <si>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</si>
  <si>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DTO案</t>
    <rPh sb="3" eb="4">
      <t>アン</t>
    </rPh>
    <phoneticPr fontId="2"/>
  </si>
  <si>
    <t>補助API(マスタ検索)</t>
    <rPh sb="0" eb="2">
      <t>ホジョ</t>
    </rPh>
    <rPh sb="9" eb="11">
      <t>ケンサク</t>
    </rPh>
    <phoneticPr fontId="2"/>
  </si>
  <si>
    <t>GET /api/manufacturers</t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</si>
  <si>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</si>
  <si>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</si>
  <si>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</si>
  <si>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</si>
  <si>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</si>
  <si>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</si>
  <si>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</si>
  <si>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</si>
  <si>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</si>
  <si>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</si>
  <si>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manufacturer</t>
  </si>
  <si>
    <t>├─ name</t>
  </si>
  <si>
    <t>└─ createdAt</t>
  </si>
  <si>
    <t>と</t>
  </si>
  <si>
    <t>order</t>
  </si>
  <si>
    <t>├─ asc</t>
  </si>
  <si>
    <t>└─ desc</t>
  </si>
  <si>
    <t>を分ける？どうする？</t>
    <phoneticPr fontId="2"/>
  </si>
  <si>
    <t>エンドポイントイメージ</t>
    <phoneticPr fontId="2"/>
  </si>
  <si>
    <t>order(asc or desc)</t>
    <phoneticPr fontId="2"/>
  </si>
  <si>
    <t>GET /public/api/v1/guitars</t>
    <phoneticPr fontId="2"/>
  </si>
  <si>
    <t>"items": [...],</t>
  </si>
  <si>
    <t>"pageSize": 20,</t>
  </si>
  <si>
    <t>"totalPages": 215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</si>
</sst>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64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A46" zoomScale="85" zoomScaleNormal="85" workbookViewId="0">
      <selection activeCell="O53" sqref="O5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6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3:L160"/>
  <sheetViews>
    <sheetView topLeftCell="A87" zoomScaleNormal="100" workbookViewId="0">
      <selection activeCell="C104" sqref="C104"/>
    </sheetView>
  </sheetViews>
  <sheetFormatPr defaultColWidth="9" defaultRowHeight="12.6"/>
  <cols>
    <col min="1" max="1" width="9" style="5"/>
    <col min="2" max="2" width="18.296875" style="5" bestFit="1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3" spans="2:12">
      <c r="L3" s="5" t="s">
        <v>416</v>
      </c>
    </row>
    <row r="4" spans="2:12">
      <c r="B4" s="6" t="s">
        <v>1511</v>
      </c>
      <c r="C4" s="6" t="s">
        <v>1153</v>
      </c>
      <c r="D4" s="6" t="s">
        <v>1126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2">
      <c r="B5" s="43" t="s">
        <v>504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('code001',0,'無','','',0,0.0,'');</v>
      </c>
    </row>
    <row r="6" spans="2:12">
      <c r="B6" s="43" t="s">
        <v>504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('code001',1,'火','','',0,0.0,'');</v>
      </c>
    </row>
    <row r="7" spans="2:12">
      <c r="B7" s="43" t="s">
        <v>504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('code001',2,'雷','','',0,0.0,'');</v>
      </c>
    </row>
    <row r="8" spans="2:12">
      <c r="B8" s="43" t="s">
        <v>504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('code001',3,'水','','',0,0.0,'');</v>
      </c>
    </row>
    <row r="9" spans="2:12">
      <c r="B9" s="43" t="s">
        <v>504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('code001',4,'土','','',0,0.0,'');</v>
      </c>
    </row>
    <row r="10" spans="2:12">
      <c r="B10" s="43" t="s">
        <v>504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('code001',5,'光','','',0,0.0,'');</v>
      </c>
    </row>
    <row r="11" spans="2:12">
      <c r="B11" s="43" t="s">
        <v>504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('code001',6,'闇','','',0,0.0,'');</v>
      </c>
    </row>
    <row r="12" spans="2:12">
      <c r="B12" s="6" t="s">
        <v>1512</v>
      </c>
      <c r="C12" s="6" t="s">
        <v>1154</v>
      </c>
      <c r="D12" s="6" t="s">
        <v>1126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2">
      <c r="B13" s="43" t="s">
        <v>505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1152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('code002',0,'無','無','',0,0.0,'param3: 解除確立　0.0 → 0%, 1.0 → 100%');</v>
      </c>
    </row>
    <row r="14" spans="2:12">
      <c r="B14" s="43" t="s">
        <v>505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1170</v>
      </c>
      <c r="I14" s="19" t="s">
        <v>1152</v>
      </c>
      <c r="K14" s="5" t="str">
        <f t="shared" si="2"/>
        <v>INSERT INTO m_code VALUES ('code002',1,'毒','毒','',0,0.25,'param3: 解除確立　0.0 → 0%, 1.0 → 100%');</v>
      </c>
    </row>
    <row r="15" spans="2:12">
      <c r="B15" s="43" t="s">
        <v>505</v>
      </c>
      <c r="C15" s="9" t="s">
        <v>77</v>
      </c>
      <c r="D15" s="9" t="s">
        <v>1127</v>
      </c>
      <c r="E15" s="8">
        <f t="shared" ref="E15:E20" si="3">E14+1</f>
        <v>2</v>
      </c>
      <c r="F15" s="19"/>
      <c r="G15" s="9" t="s">
        <v>132</v>
      </c>
      <c r="H15" s="9" t="s">
        <v>1148</v>
      </c>
      <c r="I15" s="19" t="s">
        <v>1152</v>
      </c>
      <c r="K15" s="5" t="str">
        <f t="shared" si="2"/>
        <v>INSERT INTO m_code VALUES ('code002',2,'睡眠','眠','',0,0.8,'param3: 解除確立　0.0 → 0%, 1.0 → 100%');</v>
      </c>
    </row>
    <row r="16" spans="2:12">
      <c r="B16" s="43" t="s">
        <v>505</v>
      </c>
      <c r="C16" s="9" t="s">
        <v>59</v>
      </c>
      <c r="D16" s="9" t="s">
        <v>1128</v>
      </c>
      <c r="E16" s="8">
        <f t="shared" si="3"/>
        <v>3</v>
      </c>
      <c r="F16" s="19"/>
      <c r="G16" s="9" t="s">
        <v>132</v>
      </c>
      <c r="H16" s="9" t="s">
        <v>1149</v>
      </c>
      <c r="I16" s="19" t="s">
        <v>1152</v>
      </c>
      <c r="K16" s="5" t="str">
        <f t="shared" si="2"/>
        <v>INSERT INTO m_code VALUES ('code002',3,'魅了','魅','',0,1.0,'param3: 解除確立　0.0 → 0%, 1.0 → 100%');</v>
      </c>
    </row>
    <row r="17" spans="2:11">
      <c r="B17" s="43" t="s">
        <v>505</v>
      </c>
      <c r="C17" s="9" t="s">
        <v>63</v>
      </c>
      <c r="D17" s="9" t="s">
        <v>1129</v>
      </c>
      <c r="E17" s="8">
        <f t="shared" si="3"/>
        <v>4</v>
      </c>
      <c r="F17" s="19"/>
      <c r="G17" s="9" t="s">
        <v>132</v>
      </c>
      <c r="H17" s="9" t="s">
        <v>1177</v>
      </c>
      <c r="I17" s="19" t="s">
        <v>1152</v>
      </c>
      <c r="K17" s="5" t="str">
        <f t="shared" si="2"/>
        <v>INSERT INTO m_code VALUES ('code002',4,'スロー','遅','',0,0.3,'param3: 解除確立　0.0 → 0%, 1.0 → 100%');</v>
      </c>
    </row>
    <row r="18" spans="2:11">
      <c r="B18" s="43" t="s">
        <v>505</v>
      </c>
      <c r="C18" s="9" t="s">
        <v>147</v>
      </c>
      <c r="D18" s="9" t="s">
        <v>1130</v>
      </c>
      <c r="E18" s="8">
        <f t="shared" si="3"/>
        <v>5</v>
      </c>
      <c r="F18" s="19"/>
      <c r="G18" s="9" t="s">
        <v>132</v>
      </c>
      <c r="H18" s="9" t="s">
        <v>1151</v>
      </c>
      <c r="I18" s="19" t="s">
        <v>1152</v>
      </c>
      <c r="K18" s="5" t="str">
        <f t="shared" si="2"/>
        <v>INSERT INTO m_code VALUES ('code002',5,'攻撃力UP','攻↑','',0,0.2,'param3: 解除確立　0.0 → 0%, 1.0 → 100%');</v>
      </c>
    </row>
    <row r="19" spans="2:11">
      <c r="B19" s="43" t="s">
        <v>505</v>
      </c>
      <c r="C19" s="9" t="s">
        <v>148</v>
      </c>
      <c r="D19" s="9" t="s">
        <v>1131</v>
      </c>
      <c r="E19" s="8">
        <f t="shared" si="3"/>
        <v>6</v>
      </c>
      <c r="F19" s="19"/>
      <c r="G19" s="9" t="s">
        <v>132</v>
      </c>
      <c r="H19" s="9" t="s">
        <v>1180</v>
      </c>
      <c r="I19" s="19" t="s">
        <v>1152</v>
      </c>
      <c r="K19" s="5" t="str">
        <f t="shared" si="2"/>
        <v>INSERT INTO m_code VALUES ('code002',6,'回避力UP','回↑','',0,0.35,'param3: 解除確立　0.0 → 0%, 1.0 → 100%');</v>
      </c>
    </row>
    <row r="20" spans="2:11">
      <c r="B20" s="43" t="s">
        <v>505</v>
      </c>
      <c r="C20" s="9" t="s">
        <v>1125</v>
      </c>
      <c r="D20" s="9" t="s">
        <v>1134</v>
      </c>
      <c r="E20" s="8">
        <f t="shared" si="3"/>
        <v>7</v>
      </c>
      <c r="F20" s="19"/>
      <c r="G20" s="9" t="s">
        <v>132</v>
      </c>
      <c r="H20" s="9" t="s">
        <v>1151</v>
      </c>
      <c r="I20" s="19" t="s">
        <v>1152</v>
      </c>
      <c r="K20" s="5" t="str">
        <f t="shared" si="2"/>
        <v>INSERT INTO m_code VALUES ('code002',7,'会心UP','会UP','',0,0.2,'param3: 解除確立　0.0 → 0%, 1.0 → 100%');</v>
      </c>
    </row>
    <row r="21" spans="2:11">
      <c r="B21" s="43" t="s">
        <v>505</v>
      </c>
      <c r="C21" s="9" t="s">
        <v>1124</v>
      </c>
      <c r="D21" s="9" t="s">
        <v>1132</v>
      </c>
      <c r="E21" s="8">
        <f>E20+1</f>
        <v>8</v>
      </c>
      <c r="F21" s="19"/>
      <c r="G21" s="9" t="s">
        <v>132</v>
      </c>
      <c r="H21" s="9" t="s">
        <v>1151</v>
      </c>
      <c r="I21" s="19" t="s">
        <v>1152</v>
      </c>
      <c r="K21" s="5" t="str">
        <f t="shared" si="2"/>
        <v>INSERT INTO m_code VALUES ('code002',8,'自動回復','癒','',0,0.2,'param3: 解除確立　0.0 → 0%, 1.0 → 100%');</v>
      </c>
    </row>
    <row r="22" spans="2:11">
      <c r="B22" s="43" t="s">
        <v>505</v>
      </c>
      <c r="C22" s="9" t="s">
        <v>1123</v>
      </c>
      <c r="D22" s="9" t="s">
        <v>1133</v>
      </c>
      <c r="E22" s="8">
        <f>E21+1</f>
        <v>9</v>
      </c>
      <c r="F22" s="19"/>
      <c r="G22" s="9" t="s">
        <v>132</v>
      </c>
      <c r="H22" s="9" t="s">
        <v>1150</v>
      </c>
      <c r="I22" s="19" t="s">
        <v>1152</v>
      </c>
      <c r="K22" s="5" t="str">
        <f t="shared" si="2"/>
        <v>INSERT INTO m_code VALUES ('code002',9,'猛毒','猛','',0,0.5,'param3: 解除確立　0.0 → 0%, 1.0 → 100%');</v>
      </c>
    </row>
    <row r="23" spans="2:11">
      <c r="B23" s="6" t="s">
        <v>1505</v>
      </c>
      <c r="C23" s="6" t="s">
        <v>1155</v>
      </c>
      <c r="D23" s="6" t="s">
        <v>1126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506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('code003',0,'無','','',0,0.0,'');</v>
      </c>
    </row>
    <row r="25" spans="2:11">
      <c r="B25" s="43" t="s">
        <v>506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('code003',1,'敵ランダム','','',0,0.0,'');</v>
      </c>
    </row>
    <row r="26" spans="2:11">
      <c r="B26" s="43" t="s">
        <v>506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('code003',2,'敵全体','','',0,0.0,'');</v>
      </c>
    </row>
    <row r="27" spans="2:11">
      <c r="B27" s="43" t="s">
        <v>506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('code003',3,'敵ランダム・敵全体','','',0,0.0,'');</v>
      </c>
    </row>
    <row r="28" spans="2:11">
      <c r="B28" s="43" t="s">
        <v>506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('code003',4,'敵ランダム・複数回','','',0,0.0,'');</v>
      </c>
    </row>
    <row r="29" spans="2:11">
      <c r="B29" s="43" t="s">
        <v>506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('code003',5,'自身','','',0,0.0,'');</v>
      </c>
    </row>
    <row r="30" spans="2:11">
      <c r="B30" s="43" t="s">
        <v>506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('code003',6,'味方ランダム','','',0,0.0,'');</v>
      </c>
    </row>
    <row r="31" spans="2:11">
      <c r="B31" s="43" t="s">
        <v>506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('code003',7,'味方全体','','',0,0.0,'');</v>
      </c>
    </row>
    <row r="32" spans="2:11">
      <c r="B32" s="43" t="s">
        <v>506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('code003',8,'味方ランダム・味方全体','','',0,0.0,'');</v>
      </c>
    </row>
    <row r="33" spans="2:11">
      <c r="B33" s="6" t="s">
        <v>1506</v>
      </c>
      <c r="C33" s="6" t="s">
        <v>1156</v>
      </c>
      <c r="D33" s="6" t="s">
        <v>1126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507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('code004',0,'無','無','',0,0.0,'');</v>
      </c>
    </row>
    <row r="35" spans="2:11">
      <c r="B35" s="43" t="s">
        <v>507</v>
      </c>
      <c r="C35" s="13" t="s">
        <v>90</v>
      </c>
      <c r="D35" s="13" t="s">
        <v>1135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('code004',1,'打撃攻撃','打','',0,0.0,'');</v>
      </c>
    </row>
    <row r="36" spans="2:11">
      <c r="B36" s="43" t="s">
        <v>507</v>
      </c>
      <c r="C36" s="13" t="s">
        <v>91</v>
      </c>
      <c r="D36" s="13" t="s">
        <v>1136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('code004',2,'斬撃攻撃','斬','',0,0.0,'');</v>
      </c>
    </row>
    <row r="37" spans="2:11">
      <c r="B37" s="43" t="s">
        <v>507</v>
      </c>
      <c r="C37" s="13" t="s">
        <v>89</v>
      </c>
      <c r="D37" s="13" t="s">
        <v>1137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('code004',3,'攻撃魔法','攻魔','',0,0.0,'');</v>
      </c>
    </row>
    <row r="38" spans="2:11">
      <c r="B38" s="43" t="s">
        <v>507</v>
      </c>
      <c r="C38" s="9" t="s">
        <v>140</v>
      </c>
      <c r="D38" s="9" t="s">
        <v>1138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('code004',4,'割合攻撃','割合','',0,0.0,'');</v>
      </c>
    </row>
    <row r="39" spans="2:11">
      <c r="B39" s="43" t="s">
        <v>507</v>
      </c>
      <c r="C39" s="9" t="s">
        <v>145</v>
      </c>
      <c r="D39" s="9" t="s">
        <v>1139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('code004',5,'即死攻撃','即死','',0,0.0,'');</v>
      </c>
    </row>
    <row r="40" spans="2:11">
      <c r="B40" s="43" t="s">
        <v>507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('code004',6,'回復','回復','',0,0.0,'');</v>
      </c>
    </row>
    <row r="41" spans="2:11">
      <c r="B41" s="43" t="s">
        <v>507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('code004',7,'状態','状態','',0,0.0,'');</v>
      </c>
    </row>
    <row r="42" spans="2:11">
      <c r="B42" s="43" t="s">
        <v>507</v>
      </c>
      <c r="C42" s="9" t="s">
        <v>86</v>
      </c>
      <c r="D42" s="9" t="s">
        <v>1140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('code004',8,'休み','休','',0,0.0,'');</v>
      </c>
    </row>
    <row r="43" spans="2:11">
      <c r="B43" s="6" t="s">
        <v>1510</v>
      </c>
      <c r="C43" s="6" t="s">
        <v>1157</v>
      </c>
      <c r="D43" s="6" t="s">
        <v>1126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508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('code005',1,'クリティカルダメージ補正','','',0,0.25,'');</v>
      </c>
    </row>
    <row r="45" spans="2:11">
      <c r="B45" s="43" t="s">
        <v>508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('code005',2,'行動スピード補正','','',0,0.3,'');</v>
      </c>
    </row>
    <row r="46" spans="2:11">
      <c r="B46" s="43" t="s">
        <v>508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('code005',3,'弱点ダメージ補正','','',0,0.15,'');</v>
      </c>
    </row>
    <row r="47" spans="2:11">
      <c r="B47" s="6" t="s">
        <v>1507</v>
      </c>
      <c r="C47" s="6" t="s">
        <v>1158</v>
      </c>
      <c r="D47" s="6" t="s">
        <v>1126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509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('code006',1,'キラービー','','',0,0.0,'');</v>
      </c>
    </row>
    <row r="49" spans="2:11">
      <c r="B49" s="43" t="s">
        <v>509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('code006',2,'カーミラ','','',0,0.0,'');</v>
      </c>
    </row>
    <row r="50" spans="2:11">
      <c r="B50" s="43" t="s">
        <v>509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('code006',3,'デーモン','','',0,0.0,'');</v>
      </c>
    </row>
    <row r="51" spans="2:11">
      <c r="B51" s="43" t="s">
        <v>509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('code006',4,'ゴブリン','','',0,0.0,'');</v>
      </c>
    </row>
    <row r="52" spans="2:11">
      <c r="B52" s="43" t="s">
        <v>509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('code006',5,'マシンゴーレム','','',0,0.0,'');</v>
      </c>
    </row>
    <row r="53" spans="2:11">
      <c r="B53" s="43" t="s">
        <v>509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('code006',6,'ハーピー','','',0,0.0,'');</v>
      </c>
    </row>
    <row r="54" spans="2:11">
      <c r="B54" s="43" t="s">
        <v>509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('code006',7,'アーマーナイト','','',0,0.0,'');</v>
      </c>
    </row>
    <row r="55" spans="2:11">
      <c r="B55" s="43" t="s">
        <v>509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('code006',8,'マジシャン','','',0,0.0,'');</v>
      </c>
    </row>
    <row r="56" spans="2:11">
      <c r="B56" s="43" t="s">
        <v>509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('code006',9,'マイコニド','','',0,0.0,'');</v>
      </c>
    </row>
    <row r="57" spans="2:11">
      <c r="B57" s="43" t="s">
        <v>509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('code006',10,'ニードルバード','','',0,0.0,'');</v>
      </c>
    </row>
    <row r="58" spans="2:11">
      <c r="B58" s="43" t="s">
        <v>509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('code006',11,'プチドラゴン','','',0,0.0,'');</v>
      </c>
    </row>
    <row r="59" spans="2:11">
      <c r="B59" s="43" t="s">
        <v>509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('code006',12,'ポト','','',0,0.0,'');</v>
      </c>
    </row>
    <row r="60" spans="2:11">
      <c r="B60" s="43" t="s">
        <v>509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('code006',13,'プリースト','','',0,0.0,'');</v>
      </c>
    </row>
    <row r="61" spans="2:11">
      <c r="B61" s="43" t="s">
        <v>509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('code006',14,'ラビ','','',0,0.0,'');</v>
      </c>
    </row>
    <row r="62" spans="2:11">
      <c r="B62" s="43" t="s">
        <v>509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('code006',15,'グリーンスライム','','',0,0.0,'');</v>
      </c>
    </row>
    <row r="63" spans="2:11">
      <c r="B63" s="43" t="s">
        <v>509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('code006',16,'イビルソード','','',0,0.0,'');</v>
      </c>
    </row>
    <row r="64" spans="2:11">
      <c r="B64" s="43" t="s">
        <v>509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('code006',17,'ウルフ','','',0,0.0,'');</v>
      </c>
    </row>
    <row r="65" spans="2:11">
      <c r="B65" s="43" t="s">
        <v>509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('code006',18,'ダック','','',0,0.0,'');</v>
      </c>
    </row>
    <row r="66" spans="2:11">
      <c r="B66" s="43" t="s">
        <v>509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('code006',19,'モールベア','','',0,0.0,'');</v>
      </c>
    </row>
    <row r="67" spans="2:11">
      <c r="B67" s="43" t="s">
        <v>509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('code006',20,'ギャルビー','','',0,0.0,'');</v>
      </c>
    </row>
    <row r="68" spans="2:11">
      <c r="B68" s="43" t="s">
        <v>509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('code006',21,'サハギン','','',0,0.0,'');</v>
      </c>
    </row>
    <row r="69" spans="2:11">
      <c r="B69" s="43" t="s">
        <v>509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('code006',22,'クロウラー','','',0,0.0,'');</v>
      </c>
    </row>
    <row r="70" spans="2:11">
      <c r="B70" s="43" t="s">
        <v>509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('code006',23,'パックン','','',0,0.0,'');</v>
      </c>
    </row>
    <row r="71" spans="2:11">
      <c r="B71" s="43" t="s">
        <v>509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('code006',24,'チビデビル','','',0,0.0,'');</v>
      </c>
    </row>
    <row r="72" spans="2:11">
      <c r="B72" s="43" t="s">
        <v>509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('code006',25,'オーガボックス','','',0,0.0,'');</v>
      </c>
    </row>
    <row r="73" spans="2:11">
      <c r="B73" s="43" t="s">
        <v>509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('code006',26,'バレッテ','','',0,0.0,'');</v>
      </c>
    </row>
    <row r="74" spans="2:11">
      <c r="B74" s="43" t="s">
        <v>509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('code006',27,'バシリスク','','',0,0.0,'');</v>
      </c>
    </row>
    <row r="75" spans="2:11">
      <c r="B75" s="43" t="s">
        <v>509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('code006',28,'スペクター','','',0,0.0,'');</v>
      </c>
    </row>
    <row r="76" spans="2:11">
      <c r="B76" s="43" t="s">
        <v>509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('code006',29,'ユニコーンヘッド','','',0,0.0,'');</v>
      </c>
    </row>
    <row r="77" spans="2:11">
      <c r="B77" s="43" t="s">
        <v>509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('code006',30,'シェイプシフター','','',0,0.0,'');</v>
      </c>
    </row>
    <row r="78" spans="2:11">
      <c r="B78" s="43" t="s">
        <v>509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('code006',31,'ボルダー','','',0,0.0,'');</v>
      </c>
    </row>
    <row r="79" spans="2:11">
      <c r="B79" s="43" t="s">
        <v>509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('code006',32,'パンプキンボム','','',0,0.0,'');</v>
      </c>
    </row>
    <row r="80" spans="2:11">
      <c r="B80" s="6" t="s">
        <v>1513</v>
      </c>
      <c r="C80" s="6" t="s">
        <v>1159</v>
      </c>
      <c r="D80" s="6" t="s">
        <v>1126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510</v>
      </c>
      <c r="C81" s="8" t="s">
        <v>336</v>
      </c>
      <c r="D81" s="8" t="s">
        <v>1141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('code007',1,'一般','一','',0,0.0,'');</v>
      </c>
    </row>
    <row r="82" spans="2:11">
      <c r="B82" s="43" t="s">
        <v>510</v>
      </c>
      <c r="C82" s="8" t="s">
        <v>338</v>
      </c>
      <c r="D82" s="8" t="s">
        <v>1142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('code007',2,'優良','優','',0,0.0,'');</v>
      </c>
    </row>
    <row r="83" spans="2:11">
      <c r="B83" s="43" t="s">
        <v>510</v>
      </c>
      <c r="C83" s="8" t="s">
        <v>339</v>
      </c>
      <c r="D83" s="8" t="s">
        <v>1143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('code007',3,'カモ','カ','',0,0.0,'');</v>
      </c>
    </row>
    <row r="84" spans="2:11">
      <c r="B84" s="43" t="s">
        <v>510</v>
      </c>
      <c r="C84" s="8" t="s">
        <v>337</v>
      </c>
      <c r="D84" s="8" t="s">
        <v>1144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('code007',4,'要注意','要','',0,0.0,'');</v>
      </c>
    </row>
    <row r="85" spans="2:11">
      <c r="B85" s="43" t="s">
        <v>510</v>
      </c>
      <c r="C85" s="8" t="s">
        <v>340</v>
      </c>
      <c r="D85" s="8" t="s">
        <v>1145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('code007',5,'ブラックリスト','ブ','',0,0.0,'');</v>
      </c>
    </row>
    <row r="86" spans="2:11">
      <c r="B86" s="43" t="s">
        <v>510</v>
      </c>
      <c r="C86" s="8" t="s">
        <v>341</v>
      </c>
      <c r="D86" s="8" t="s">
        <v>1146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('code007',90,'管理者','管','',0,0.0,'');</v>
      </c>
    </row>
    <row r="87" spans="2:11">
      <c r="B87" s="43" t="s">
        <v>510</v>
      </c>
      <c r="C87" s="8" t="s">
        <v>342</v>
      </c>
      <c r="D87" s="8" t="s">
        <v>1147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('code007',91,'統括管理者','統','',0,0.0,'');</v>
      </c>
    </row>
    <row r="88" spans="2:11">
      <c r="B88" s="6" t="s">
        <v>1509</v>
      </c>
      <c r="C88" s="6" t="s">
        <v>1160</v>
      </c>
      <c r="D88" s="6" t="s">
        <v>1126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1118</v>
      </c>
      <c r="C89" s="8" t="s">
        <v>1119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('code008',1,'モンスター能力値','','',0,0.0,'');</v>
      </c>
    </row>
    <row r="90" spans="2:11">
      <c r="B90" s="43" t="s">
        <v>1118</v>
      </c>
      <c r="C90" s="8" t="s">
        <v>1108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('code008',2,'モンスタースキル','','',0,0.0,'');</v>
      </c>
    </row>
    <row r="91" spans="2:11">
      <c r="B91" s="43" t="s">
        <v>1118</v>
      </c>
      <c r="C91" s="8" t="s">
        <v>1120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('code008',3,'使用モンスター','','',0,0.0,'');</v>
      </c>
    </row>
    <row r="92" spans="2:11">
      <c r="B92" s="6" t="s">
        <v>1508</v>
      </c>
      <c r="C92" s="6" t="s">
        <v>1396</v>
      </c>
      <c r="D92" s="6" t="s">
        <v>1126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1395</v>
      </c>
      <c r="C93" s="8" t="s">
        <v>1183</v>
      </c>
      <c r="D93" s="8"/>
      <c r="E93" s="8">
        <v>1</v>
      </c>
      <c r="F93" s="8"/>
      <c r="G93" s="9">
        <v>0</v>
      </c>
      <c r="H93" s="9" t="s">
        <v>125</v>
      </c>
      <c r="I93" s="8" t="s">
        <v>1430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('code009',1,'ESP','','',0,0.0,'https://espguitars.co.jp/products/esp');</v>
      </c>
    </row>
    <row r="94" spans="2:11">
      <c r="B94" s="8" t="s">
        <v>1395</v>
      </c>
      <c r="C94" s="8" t="s">
        <v>1290</v>
      </c>
      <c r="D94" s="8"/>
      <c r="E94" s="8">
        <v>2</v>
      </c>
      <c r="F94" s="8"/>
      <c r="G94" s="9">
        <v>0</v>
      </c>
      <c r="H94" s="9" t="s">
        <v>125</v>
      </c>
      <c r="I94" s="8" t="s">
        <v>1428</v>
      </c>
      <c r="K94" s="5" t="str">
        <f t="shared" si="11"/>
        <v>INSERT INTO m_code VALUES ('code009',2,'Fender','','',0,0.0,'https://jp.fender.com/collections/electric-guitars');</v>
      </c>
    </row>
    <row r="95" spans="2:11">
      <c r="B95" s="8" t="s">
        <v>1395</v>
      </c>
      <c r="C95" s="8" t="s">
        <v>1197</v>
      </c>
      <c r="D95" s="8"/>
      <c r="E95" s="8">
        <v>3</v>
      </c>
      <c r="F95" s="8"/>
      <c r="G95" s="9">
        <v>0</v>
      </c>
      <c r="H95" s="9" t="s">
        <v>125</v>
      </c>
      <c r="I95" s="8" t="s">
        <v>1567</v>
      </c>
      <c r="K95" s="5" t="str">
        <f t="shared" si="11"/>
        <v>INSERT INTO m_code VALUES ('code009',3,'Gibson','','',0,0.0,'https://gibson.jp/');</v>
      </c>
    </row>
    <row r="96" spans="2:11">
      <c r="B96" s="8" t="s">
        <v>1395</v>
      </c>
      <c r="C96" s="8" t="s">
        <v>1553</v>
      </c>
      <c r="D96" s="8"/>
      <c r="E96" s="8">
        <v>4</v>
      </c>
      <c r="F96" s="8"/>
      <c r="G96" s="9">
        <v>0</v>
      </c>
      <c r="H96" s="9" t="s">
        <v>125</v>
      </c>
      <c r="I96" s="8" t="s">
        <v>1238</v>
      </c>
      <c r="J96" s="5" t="s">
        <v>1554</v>
      </c>
      <c r="K96" s="5" t="str">
        <f t="shared" si="11"/>
        <v>INSERT INTO m_code VALUES ('code009',4,'.strandberg','','',0,0.0,'https://strandbergguitars.com/en-US/guitars');</v>
      </c>
    </row>
    <row r="97" spans="2:11">
      <c r="B97" s="8" t="s">
        <v>1395</v>
      </c>
      <c r="C97" s="8" t="s">
        <v>1299</v>
      </c>
      <c r="D97" s="8"/>
      <c r="E97" s="8">
        <v>5</v>
      </c>
      <c r="F97" s="8"/>
      <c r="G97" s="9">
        <v>0</v>
      </c>
      <c r="H97" s="9" t="s">
        <v>125</v>
      </c>
      <c r="I97" s="8" t="s">
        <v>1300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('code009',5,'SCHECTER','','',0,0.0,'https://schecter.co.jp/guitar/');</v>
      </c>
    </row>
    <row r="98" spans="2:11">
      <c r="B98" s="8" t="s">
        <v>1395</v>
      </c>
      <c r="C98" s="8" t="s">
        <v>1551</v>
      </c>
      <c r="D98" s="8"/>
      <c r="E98" s="8">
        <v>6</v>
      </c>
      <c r="F98" s="8"/>
      <c r="G98" s="9">
        <v>0</v>
      </c>
      <c r="H98" s="9" t="s">
        <v>125</v>
      </c>
      <c r="I98" s="8" t="s">
        <v>1552</v>
      </c>
      <c r="K98" s="5" t="str">
        <f t="shared" si="12"/>
        <v>INSERT INTO m_code VALUES ('code009',6,'ESP signature','','',0,0.0,'https://espguitars.co.jp/signatureseries/');</v>
      </c>
    </row>
    <row r="99" spans="2:11">
      <c r="B99" s="8" t="s">
        <v>1395</v>
      </c>
      <c r="C99" s="8" t="s">
        <v>1556</v>
      </c>
      <c r="D99" s="8"/>
      <c r="E99" s="8">
        <v>7</v>
      </c>
      <c r="F99" s="8"/>
      <c r="G99" s="9">
        <v>0</v>
      </c>
      <c r="H99" s="9" t="s">
        <v>125</v>
      </c>
      <c r="I99" s="8" t="s">
        <v>1561</v>
      </c>
      <c r="K99" s="5" t="str">
        <f t="shared" si="12"/>
        <v>INSERT INTO m_code VALUES ('code009',7,'Ibanez','','',0,0.0,'https://www.ibanez.com/jp/');</v>
      </c>
    </row>
    <row r="100" spans="2:11">
      <c r="B100" s="8" t="s">
        <v>1395</v>
      </c>
      <c r="C100" s="8" t="s">
        <v>1557</v>
      </c>
      <c r="D100" s="8"/>
      <c r="E100" s="8">
        <v>8</v>
      </c>
      <c r="F100" s="8"/>
      <c r="G100" s="9">
        <v>0</v>
      </c>
      <c r="H100" s="9" t="s">
        <v>125</v>
      </c>
      <c r="I100" s="8" t="s">
        <v>1562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('code009',8,'PRS','','',0,0.0,'https://www.prsguitars.jp/products');</v>
      </c>
    </row>
    <row r="101" spans="2:11">
      <c r="B101" s="8" t="s">
        <v>1395</v>
      </c>
      <c r="C101" s="8" t="s">
        <v>1558</v>
      </c>
      <c r="D101" s="8"/>
      <c r="E101" s="8">
        <v>9</v>
      </c>
      <c r="F101" s="8"/>
      <c r="G101" s="9">
        <v>0</v>
      </c>
      <c r="H101" s="9" t="s">
        <v>125</v>
      </c>
      <c r="I101" s="8" t="s">
        <v>1563</v>
      </c>
      <c r="K101" s="5" t="str">
        <f t="shared" si="13"/>
        <v>INSERT INTO m_code VALUES ('code009',9,'Suhr','','',0,0.0,'https://www.suhr.com/suhr-custom-gallery/');</v>
      </c>
    </row>
    <row r="102" spans="2:11">
      <c r="B102" s="8" t="s">
        <v>1395</v>
      </c>
      <c r="C102" s="8" t="s">
        <v>1559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1564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('code009',10,'MusicMan','','',0,0.0,'https://www.music-man.com/instruments/guitars');</v>
      </c>
    </row>
    <row r="103" spans="2:11">
      <c r="B103" s="8" t="s">
        <v>1395</v>
      </c>
      <c r="C103" s="8" t="s">
        <v>1583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1565</v>
      </c>
      <c r="K103" s="5" t="str">
        <f t="shared" si="14"/>
        <v>INSERT INTO m_code VALUES ('code009',11,'ZEMAITIS','','',0,0.0,'https://www.zemaitis-guitars.jp/electrics/');</v>
      </c>
    </row>
    <row r="104" spans="2:11">
      <c r="B104" s="8" t="s">
        <v>1395</v>
      </c>
      <c r="C104" s="8" t="s">
        <v>1560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1566</v>
      </c>
      <c r="K104" s="5" t="str">
        <f t="shared" si="14"/>
        <v>INSERT INTO m_code VALUES ('code009',12,'Momose','','',0,0.0,'https://www.deviser.co.jp/momose');</v>
      </c>
    </row>
    <row r="105" spans="2:11">
      <c r="B105" s="6" t="s">
        <v>1555</v>
      </c>
      <c r="C105" s="6" t="s">
        <v>1398</v>
      </c>
      <c r="D105" s="6" t="s">
        <v>1126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1427</v>
      </c>
      <c r="C106" s="8" t="s">
        <v>1435</v>
      </c>
      <c r="D106" s="8"/>
      <c r="E106" s="8">
        <v>0</v>
      </c>
      <c r="F106" s="8" t="s">
        <v>1434</v>
      </c>
      <c r="G106" s="9">
        <v>0</v>
      </c>
      <c r="H106" s="9" t="s">
        <v>125</v>
      </c>
      <c r="I106" s="8"/>
      <c r="K106" s="5" t="str">
        <f t="shared" ref="K106:K142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('code010',0,'Unknown','','？？',0,0.0,'');</v>
      </c>
    </row>
    <row r="107" spans="2:11">
      <c r="B107" s="8" t="s">
        <v>1427</v>
      </c>
      <c r="C107" s="8" t="s">
        <v>1436</v>
      </c>
      <c r="D107" s="8"/>
      <c r="E107" s="8">
        <v>1</v>
      </c>
      <c r="F107" s="8" t="s">
        <v>1450</v>
      </c>
      <c r="G107" s="9">
        <v>0</v>
      </c>
      <c r="H107" s="9" t="s">
        <v>125</v>
      </c>
      <c r="I107" s="8" t="s">
        <v>1474</v>
      </c>
      <c r="K107" s="5" t="str">
        <f t="shared" si="15"/>
        <v>INSERT INTO m_code VALUES ('code010',1,'HardMaple','','ハードメイプル',0,0.0,'硬質でタイト、明瞭なアタック。');</v>
      </c>
    </row>
    <row r="108" spans="2:11">
      <c r="B108" s="8" t="s">
        <v>1427</v>
      </c>
      <c r="C108" s="8" t="s">
        <v>1437</v>
      </c>
      <c r="D108" s="8"/>
      <c r="E108" s="8">
        <v>2</v>
      </c>
      <c r="F108" s="8" t="s">
        <v>1451</v>
      </c>
      <c r="G108" s="9">
        <v>0</v>
      </c>
      <c r="H108" s="9" t="s">
        <v>125</v>
      </c>
      <c r="I108" s="8" t="s">
        <v>1475</v>
      </c>
      <c r="K108" s="5" t="str">
        <f t="shared" si="15"/>
        <v>INSERT INTO m_code VALUES ('code010',2,'FlameMaple','','フレイムメイプル',0,0.0,'明るく抜けが良く、華やかな倍音。');</v>
      </c>
    </row>
    <row r="109" spans="2:11">
      <c r="B109" s="8" t="s">
        <v>1427</v>
      </c>
      <c r="C109" s="8" t="s">
        <v>1438</v>
      </c>
      <c r="D109" s="8"/>
      <c r="E109" s="8">
        <v>3</v>
      </c>
      <c r="F109" s="8" t="s">
        <v>1452</v>
      </c>
      <c r="G109" s="9">
        <v>0</v>
      </c>
      <c r="H109" s="9" t="s">
        <v>125</v>
      </c>
      <c r="I109" s="8" t="s">
        <v>1476</v>
      </c>
      <c r="K109" s="5" t="str">
        <f t="shared" si="15"/>
        <v>INSERT INTO m_code VALUES ('code010',3,'QuiltedMaple','','キルテッドメイプル',0,0.0,'立体的で広がりがあり、煌びやかな響き。');</v>
      </c>
    </row>
    <row r="110" spans="2:11">
      <c r="B110" s="8" t="s">
        <v>1427</v>
      </c>
      <c r="C110" s="8" t="s">
        <v>1439</v>
      </c>
      <c r="D110" s="8"/>
      <c r="E110" s="8">
        <v>4</v>
      </c>
      <c r="F110" s="8" t="s">
        <v>1453</v>
      </c>
      <c r="G110" s="9">
        <v>0</v>
      </c>
      <c r="H110" s="9" t="s">
        <v>125</v>
      </c>
      <c r="I110" s="8" t="s">
        <v>1477</v>
      </c>
      <c r="K110" s="5" t="str">
        <f t="shared" si="15"/>
        <v>INSERT INTO m_code VALUES ('code010',4,'BirdseyeMaple','','バーズアイメイプル',0,0.0,'粒立ちが良く、明るくシャープ。');</v>
      </c>
    </row>
    <row r="111" spans="2:11">
      <c r="B111" s="8" t="s">
        <v>1427</v>
      </c>
      <c r="C111" s="8" t="s">
        <v>1440</v>
      </c>
      <c r="D111" s="8"/>
      <c r="E111" s="8">
        <v>5</v>
      </c>
      <c r="F111" s="8" t="s">
        <v>1454</v>
      </c>
      <c r="G111" s="9">
        <v>0</v>
      </c>
      <c r="H111" s="9" t="s">
        <v>125</v>
      </c>
      <c r="I111" s="8" t="s">
        <v>1478</v>
      </c>
      <c r="K111" s="5" t="str">
        <f t="shared" si="15"/>
        <v>INSERT INTO m_code VALUES ('code010',5,'RoastedMaple','','ローステッドメイプル',0,0.0,'引き締まったタイトな音で反応が速い。');</v>
      </c>
    </row>
    <row r="112" spans="2:11">
      <c r="B112" s="8" t="s">
        <v>1427</v>
      </c>
      <c r="C112" s="8" t="s">
        <v>1399</v>
      </c>
      <c r="D112" s="8"/>
      <c r="E112" s="8">
        <v>6</v>
      </c>
      <c r="F112" s="8" t="s">
        <v>1449</v>
      </c>
      <c r="G112" s="9">
        <v>0</v>
      </c>
      <c r="H112" s="9" t="s">
        <v>125</v>
      </c>
      <c r="I112" s="8" t="s">
        <v>1473</v>
      </c>
      <c r="K112" s="5" t="str">
        <f t="shared" si="15"/>
        <v>INSERT INTO m_code VALUES ('code010',6,'Maple','','メイプル',0,0.0,'明るくハリがあり、アタックが強い。');</v>
      </c>
    </row>
    <row r="113" spans="2:11">
      <c r="B113" s="8" t="s">
        <v>1427</v>
      </c>
      <c r="C113" s="8" t="s">
        <v>1441</v>
      </c>
      <c r="D113" s="8"/>
      <c r="E113" s="8">
        <v>7</v>
      </c>
      <c r="F113" s="8" t="s">
        <v>1455</v>
      </c>
      <c r="G113" s="9">
        <v>0</v>
      </c>
      <c r="H113" s="9" t="s">
        <v>125</v>
      </c>
      <c r="I113" s="8" t="s">
        <v>1480</v>
      </c>
      <c r="K113" s="5" t="str">
        <f t="shared" si="15"/>
        <v>INSERT INTO m_code VALUES ('code010',7,'HonduranMahogany','','ホンジュラスマホガニー',0,0.0,'深みがあり、太くリッチな中低域。');</v>
      </c>
    </row>
    <row r="114" spans="2:11">
      <c r="B114" s="8" t="s">
        <v>1427</v>
      </c>
      <c r="C114" s="8" t="s">
        <v>1400</v>
      </c>
      <c r="D114" s="8"/>
      <c r="E114" s="8">
        <v>8</v>
      </c>
      <c r="F114" s="8" t="s">
        <v>1418</v>
      </c>
      <c r="G114" s="9">
        <v>0</v>
      </c>
      <c r="H114" s="9" t="s">
        <v>125</v>
      </c>
      <c r="I114" s="8" t="s">
        <v>1479</v>
      </c>
      <c r="K114" s="5" t="str">
        <f t="shared" si="15"/>
        <v>INSERT INTO m_code VALUES ('code010',8,'Mahogany','','マホガニー',0,0.0,'中低域が豊かで温かい音。');</v>
      </c>
    </row>
    <row r="115" spans="2:11">
      <c r="B115" s="8" t="s">
        <v>1427</v>
      </c>
      <c r="C115" s="8" t="s">
        <v>1442</v>
      </c>
      <c r="D115" s="8"/>
      <c r="E115" s="8">
        <v>9</v>
      </c>
      <c r="F115" s="8" t="s">
        <v>1456</v>
      </c>
      <c r="G115" s="9">
        <v>0</v>
      </c>
      <c r="H115" s="9" t="s">
        <v>125</v>
      </c>
      <c r="I115" s="8" t="s">
        <v>1481</v>
      </c>
      <c r="K115" s="5" t="str">
        <f t="shared" si="15"/>
        <v>INSERT INTO m_code VALUES ('code010',9,'Sapele','','サペリ',0,0.0,'温かく柔らかいトーンでバランスが良い。');</v>
      </c>
    </row>
    <row r="116" spans="2:11">
      <c r="B116" s="8" t="s">
        <v>1427</v>
      </c>
      <c r="C116" s="8" t="s">
        <v>1407</v>
      </c>
      <c r="D116" s="8"/>
      <c r="E116" s="8">
        <v>10</v>
      </c>
      <c r="F116" s="8" t="s">
        <v>1457</v>
      </c>
      <c r="G116" s="9">
        <v>0</v>
      </c>
      <c r="H116" s="9" t="s">
        <v>125</v>
      </c>
      <c r="I116" s="8" t="s">
        <v>1482</v>
      </c>
      <c r="K116" s="5" t="str">
        <f t="shared" si="15"/>
        <v>INSERT INTO m_code VALUES ('code010',10,'Korina','','コリーナ',0,0.0,'中域が豊かで太い音。');</v>
      </c>
    </row>
    <row r="117" spans="2:11">
      <c r="B117" s="8" t="s">
        <v>1427</v>
      </c>
      <c r="C117" s="8" t="s">
        <v>1443</v>
      </c>
      <c r="D117" s="8"/>
      <c r="E117" s="8">
        <v>11</v>
      </c>
      <c r="F117" s="8" t="s">
        <v>1458</v>
      </c>
      <c r="G117" s="9">
        <v>0</v>
      </c>
      <c r="H117" s="9" t="s">
        <v>125</v>
      </c>
      <c r="I117" s="8" t="s">
        <v>1483</v>
      </c>
      <c r="K117" s="5" t="str">
        <f t="shared" si="15"/>
        <v>INSERT INTO m_code VALUES ('code010',11,'WhiteKorina','','ホワイトコリーナ',0,0.0,'明るく抜けが良く、軽快なレスポンス。');</v>
      </c>
    </row>
    <row r="118" spans="2:11">
      <c r="B118" s="8" t="s">
        <v>1427</v>
      </c>
      <c r="C118" s="8" t="s">
        <v>1401</v>
      </c>
      <c r="D118" s="8"/>
      <c r="E118" s="8">
        <v>12</v>
      </c>
      <c r="F118" s="8" t="s">
        <v>1419</v>
      </c>
      <c r="G118" s="9">
        <v>0</v>
      </c>
      <c r="H118" s="9" t="s">
        <v>125</v>
      </c>
      <c r="I118" s="8" t="s">
        <v>1484</v>
      </c>
      <c r="K118" s="5" t="str">
        <f t="shared" si="15"/>
        <v>INSERT INTO m_code VALUES ('code010',12,'Alder','','アルダー',0,0.0,'バランスが良くクセが少ない。');</v>
      </c>
    </row>
    <row r="119" spans="2:11">
      <c r="B119" s="8" t="s">
        <v>1427</v>
      </c>
      <c r="C119" s="8" t="s">
        <v>1402</v>
      </c>
      <c r="D119" s="8"/>
      <c r="E119" s="8">
        <v>13</v>
      </c>
      <c r="F119" s="8" t="s">
        <v>1459</v>
      </c>
      <c r="G119" s="9">
        <v>0</v>
      </c>
      <c r="H119" s="9" t="s">
        <v>125</v>
      </c>
      <c r="I119" s="8" t="s">
        <v>1485</v>
      </c>
      <c r="K119" s="5" t="str">
        <f t="shared" si="15"/>
        <v>INSERT INTO m_code VALUES ('code010',13,'Ash','','アッシュ',0,0.0,'明るく抜ける音でアタックが強い。');</v>
      </c>
    </row>
    <row r="120" spans="2:11">
      <c r="B120" s="8" t="s">
        <v>1427</v>
      </c>
      <c r="C120" s="8" t="s">
        <v>1403</v>
      </c>
      <c r="D120" s="8"/>
      <c r="E120" s="8">
        <v>14</v>
      </c>
      <c r="F120" s="8" t="s">
        <v>1460</v>
      </c>
      <c r="G120" s="9">
        <v>0</v>
      </c>
      <c r="H120" s="9" t="s">
        <v>125</v>
      </c>
      <c r="I120" s="8" t="s">
        <v>1486</v>
      </c>
      <c r="K120" s="5" t="str">
        <f t="shared" si="15"/>
        <v>INSERT INTO m_code VALUES ('code010',14,'Basswood','','バスウッド',0,0.0,'軽く柔らかく、ウォームで扱いやすい。');</v>
      </c>
    </row>
    <row r="121" spans="2:11">
      <c r="B121" s="8" t="s">
        <v>1427</v>
      </c>
      <c r="C121" s="8" t="s">
        <v>1412</v>
      </c>
      <c r="D121" s="8"/>
      <c r="E121" s="8">
        <v>15</v>
      </c>
      <c r="F121" s="8" t="s">
        <v>1461</v>
      </c>
      <c r="G121" s="9">
        <v>0</v>
      </c>
      <c r="H121" s="9" t="s">
        <v>125</v>
      </c>
      <c r="I121" s="8" t="s">
        <v>1487</v>
      </c>
      <c r="K121" s="5" t="str">
        <f t="shared" si="15"/>
        <v>INSERT INTO m_code VALUES ('code010',15,'Poplar','','ポプラ',0,0.0,'軽く素直でクセが少ない。');</v>
      </c>
    </row>
    <row r="122" spans="2:11">
      <c r="B122" s="8" t="s">
        <v>1427</v>
      </c>
      <c r="C122" s="8" t="s">
        <v>1408</v>
      </c>
      <c r="D122" s="8"/>
      <c r="E122" s="8">
        <v>16</v>
      </c>
      <c r="F122" s="8" t="s">
        <v>1462</v>
      </c>
      <c r="G122" s="9">
        <v>0</v>
      </c>
      <c r="H122" s="9" t="s">
        <v>125</v>
      </c>
      <c r="I122" s="8" t="s">
        <v>1488</v>
      </c>
      <c r="K122" s="5" t="str">
        <f t="shared" si="15"/>
        <v>INSERT INTO m_code VALUES ('code010',16,'Spruce','','スプルース',0,0.0,'軽く響きが良く、明るいトーン。');</v>
      </c>
    </row>
    <row r="123" spans="2:11">
      <c r="B123" s="8" t="s">
        <v>1427</v>
      </c>
      <c r="C123" s="8" t="s">
        <v>1409</v>
      </c>
      <c r="D123" s="8"/>
      <c r="E123" s="8">
        <v>17</v>
      </c>
      <c r="F123" s="8" t="s">
        <v>1463</v>
      </c>
      <c r="G123" s="9">
        <v>0</v>
      </c>
      <c r="H123" s="9" t="s">
        <v>125</v>
      </c>
      <c r="I123" s="8" t="s">
        <v>1489</v>
      </c>
      <c r="K123" s="5" t="str">
        <f t="shared" si="15"/>
        <v>INSERT INTO m_code VALUES ('code010',17,'Cedar','','シダー',0,0.0,'柔らかく温かい音。');</v>
      </c>
    </row>
    <row r="124" spans="2:11">
      <c r="B124" s="8" t="s">
        <v>1427</v>
      </c>
      <c r="C124" s="8" t="s">
        <v>1444</v>
      </c>
      <c r="D124" s="8"/>
      <c r="E124" s="8">
        <v>18</v>
      </c>
      <c r="F124" s="8" t="s">
        <v>1465</v>
      </c>
      <c r="G124" s="9">
        <v>0</v>
      </c>
      <c r="H124" s="9" t="s">
        <v>125</v>
      </c>
      <c r="I124" s="8" t="s">
        <v>1491</v>
      </c>
      <c r="K124" s="5" t="str">
        <f t="shared" si="15"/>
        <v>INSERT INTO m_code VALUES ('code010',18,'IndianRosewood','','インディアンローズウッド',0,0.0,'甘く深みがあり、豊かな中低域。');</v>
      </c>
    </row>
    <row r="125" spans="2:11">
      <c r="B125" s="8" t="s">
        <v>1427</v>
      </c>
      <c r="C125" s="8" t="s">
        <v>1445</v>
      </c>
      <c r="D125" s="8"/>
      <c r="E125" s="8">
        <v>19</v>
      </c>
      <c r="F125" s="8" t="s">
        <v>1466</v>
      </c>
      <c r="G125" s="9">
        <v>0</v>
      </c>
      <c r="H125" s="9" t="s">
        <v>125</v>
      </c>
      <c r="I125" s="8" t="s">
        <v>1492</v>
      </c>
      <c r="K125" s="5" t="str">
        <f t="shared" si="15"/>
        <v>INSERT INTO m_code VALUES ('code010',19,'BrazilianRosewood','','ブラジリアンローズウッド',0,0.0,'濃厚で深いトーン、豊かな倍音。');</v>
      </c>
    </row>
    <row r="126" spans="2:11">
      <c r="B126" s="8" t="s">
        <v>1427</v>
      </c>
      <c r="C126" s="8" t="s">
        <v>1404</v>
      </c>
      <c r="D126" s="8"/>
      <c r="E126" s="8">
        <v>20</v>
      </c>
      <c r="F126" s="8" t="s">
        <v>1464</v>
      </c>
      <c r="G126" s="9">
        <v>0</v>
      </c>
      <c r="H126" s="9" t="s">
        <v>125</v>
      </c>
      <c r="I126" s="8" t="s">
        <v>1490</v>
      </c>
      <c r="K126" s="5" t="str">
        <f t="shared" si="15"/>
        <v>INSERT INTO m_code VALUES ('code010',20,'Rosewood','','ローズウッド',0,0.0,'甘く丸い音で中域が豊か。');</v>
      </c>
    </row>
    <row r="127" spans="2:11">
      <c r="B127" s="8" t="s">
        <v>1427</v>
      </c>
      <c r="C127" s="8" t="s">
        <v>1446</v>
      </c>
      <c r="D127" s="8"/>
      <c r="E127" s="8">
        <v>21</v>
      </c>
      <c r="F127" s="8" t="s">
        <v>1420</v>
      </c>
      <c r="G127" s="9">
        <v>0</v>
      </c>
      <c r="H127" s="9" t="s">
        <v>125</v>
      </c>
      <c r="I127" s="8" t="s">
        <v>1493</v>
      </c>
      <c r="K127" s="5" t="str">
        <f t="shared" si="15"/>
        <v>INSERT INTO m_code VALUES ('code010',21,'PauFerro','','パーフェロー',0,0.0,'明るく硬質でタイトな音。');</v>
      </c>
    </row>
    <row r="128" spans="2:11">
      <c r="B128" s="8" t="s">
        <v>1427</v>
      </c>
      <c r="C128" s="8" t="s">
        <v>1410</v>
      </c>
      <c r="D128" s="8"/>
      <c r="E128" s="8">
        <v>22</v>
      </c>
      <c r="F128" s="8" t="s">
        <v>1421</v>
      </c>
      <c r="G128" s="9">
        <v>0</v>
      </c>
      <c r="H128" s="9" t="s">
        <v>125</v>
      </c>
      <c r="I128" s="8" t="s">
        <v>1494</v>
      </c>
      <c r="K128" s="5" t="str">
        <f t="shared" si="15"/>
        <v>INSERT INTO m_code VALUES ('code010',22,'Ovangkol','','オバンコール',0,0.0,'中域が豊かで温かいトーン。');</v>
      </c>
    </row>
    <row r="129" spans="2:11">
      <c r="B129" s="8" t="s">
        <v>1427</v>
      </c>
      <c r="C129" s="8" t="s">
        <v>1405</v>
      </c>
      <c r="D129" s="8"/>
      <c r="E129" s="8">
        <v>23</v>
      </c>
      <c r="F129" s="8" t="s">
        <v>1467</v>
      </c>
      <c r="G129" s="9">
        <v>0</v>
      </c>
      <c r="H129" s="9" t="s">
        <v>125</v>
      </c>
      <c r="I129" s="8" t="s">
        <v>1495</v>
      </c>
      <c r="K129" s="5" t="str">
        <f t="shared" si="15"/>
        <v>INSERT INTO m_code VALUES ('code010',23,'Ebony','','エボニー',0,0.0,'硬くタイトで高域がクリア。');</v>
      </c>
    </row>
    <row r="130" spans="2:11">
      <c r="B130" s="8" t="s">
        <v>1427</v>
      </c>
      <c r="C130" s="8" t="s">
        <v>1406</v>
      </c>
      <c r="D130" s="8"/>
      <c r="E130" s="8">
        <v>24</v>
      </c>
      <c r="F130" s="8" t="s">
        <v>1468</v>
      </c>
      <c r="G130" s="9">
        <v>0</v>
      </c>
      <c r="H130" s="9" t="s">
        <v>125</v>
      </c>
      <c r="I130" s="8" t="s">
        <v>1426</v>
      </c>
      <c r="K130" s="5" t="str">
        <f t="shared" si="15"/>
        <v>INSERT INTO m_code VALUES ('code010',24,'Walnut','','ウォルナット',0,0.0,'中域が豊かで落ち着いたトーン。');</v>
      </c>
    </row>
    <row r="131" spans="2:11">
      <c r="B131" s="8" t="s">
        <v>1427</v>
      </c>
      <c r="C131" s="8" t="s">
        <v>1447</v>
      </c>
      <c r="D131" s="8"/>
      <c r="E131" s="8">
        <v>25</v>
      </c>
      <c r="F131" s="8" t="s">
        <v>1469</v>
      </c>
      <c r="G131" s="9">
        <v>0</v>
      </c>
      <c r="H131" s="9" t="s">
        <v>125</v>
      </c>
      <c r="I131" s="8" t="s">
        <v>1496</v>
      </c>
      <c r="K131" s="5" t="str">
        <f t="shared" si="15"/>
        <v>INSERT INTO m_code VALUES ('code010',25,'Padauk','','パドゥーク',0,0.0,'明るく抜けが良く、個性的な響き。');</v>
      </c>
    </row>
    <row r="132" spans="2:11">
      <c r="B132" s="8" t="s">
        <v>1427</v>
      </c>
      <c r="C132" s="8" t="s">
        <v>1411</v>
      </c>
      <c r="D132" s="8"/>
      <c r="E132" s="8">
        <v>26</v>
      </c>
      <c r="F132" s="8" t="s">
        <v>1470</v>
      </c>
      <c r="G132" s="9">
        <v>0</v>
      </c>
      <c r="H132" s="9" t="s">
        <v>125</v>
      </c>
      <c r="I132" s="8" t="s">
        <v>1497</v>
      </c>
      <c r="K132" s="5" t="str">
        <f t="shared" si="15"/>
        <v>INSERT INTO m_code VALUES ('code010',26,'Koa','','コア',0,0.0,'明るく華やかで軽快。');</v>
      </c>
    </row>
    <row r="133" spans="2:11">
      <c r="B133" s="8" t="s">
        <v>1427</v>
      </c>
      <c r="C133" s="8" t="s">
        <v>1413</v>
      </c>
      <c r="D133" s="8"/>
      <c r="E133" s="8">
        <v>27</v>
      </c>
      <c r="F133" s="8" t="s">
        <v>1471</v>
      </c>
      <c r="G133" s="9">
        <v>0</v>
      </c>
      <c r="H133" s="9" t="s">
        <v>125</v>
      </c>
      <c r="I133" s="8" t="s">
        <v>1498</v>
      </c>
      <c r="K133" s="5" t="str">
        <f t="shared" si="15"/>
        <v>INSERT INTO m_code VALUES ('code010',27,'Nato','','ナトー',0,0.0,'中低域が豊かで温かい。');</v>
      </c>
    </row>
    <row r="134" spans="2:11">
      <c r="B134" s="8" t="s">
        <v>1427</v>
      </c>
      <c r="C134" s="8" t="s">
        <v>1414</v>
      </c>
      <c r="D134" s="8"/>
      <c r="E134" s="8">
        <v>28</v>
      </c>
      <c r="F134" s="8" t="s">
        <v>1422</v>
      </c>
      <c r="G134" s="9">
        <v>0</v>
      </c>
      <c r="H134" s="9" t="s">
        <v>125</v>
      </c>
      <c r="I134" s="8" t="s">
        <v>1499</v>
      </c>
      <c r="K134" s="5" t="str">
        <f t="shared" si="15"/>
        <v>INSERT INTO m_code VALUES ('code010',28,'Agathis','','アガチス',0,0.0,'柔らかくウォームで素直。');</v>
      </c>
    </row>
    <row r="135" spans="2:11">
      <c r="B135" s="8" t="s">
        <v>1427</v>
      </c>
      <c r="C135" s="8" t="s">
        <v>1415</v>
      </c>
      <c r="D135" s="8"/>
      <c r="E135" s="8">
        <v>29</v>
      </c>
      <c r="F135" s="8" t="s">
        <v>1423</v>
      </c>
      <c r="G135" s="9">
        <v>0</v>
      </c>
      <c r="H135" s="9" t="s">
        <v>125</v>
      </c>
      <c r="I135" s="8" t="s">
        <v>1500</v>
      </c>
      <c r="K135" s="5" t="str">
        <f t="shared" si="15"/>
        <v>INSERT INTO m_code VALUES ('code010',29,'Bubinga','','ブビンガ',0,0.0,'重く硬質でサスティンが長い。');</v>
      </c>
    </row>
    <row r="136" spans="2:11">
      <c r="B136" s="8" t="s">
        <v>1427</v>
      </c>
      <c r="C136" s="8" t="s">
        <v>1416</v>
      </c>
      <c r="D136" s="8"/>
      <c r="E136" s="8">
        <v>30</v>
      </c>
      <c r="F136" s="8" t="s">
        <v>1424</v>
      </c>
      <c r="G136" s="9">
        <v>0</v>
      </c>
      <c r="H136" s="9" t="s">
        <v>125</v>
      </c>
      <c r="I136" s="8" t="s">
        <v>1501</v>
      </c>
      <c r="K136" s="5" t="str">
        <f t="shared" si="15"/>
        <v>INSERT INTO m_code VALUES ('code010',30,'Wenge','','ウェンジ',0,0.0,'非常に硬くタイトで個性的。');</v>
      </c>
    </row>
    <row r="137" spans="2:11">
      <c r="B137" s="8" t="s">
        <v>1427</v>
      </c>
      <c r="C137" s="8" t="s">
        <v>1417</v>
      </c>
      <c r="D137" s="8"/>
      <c r="E137" s="8">
        <v>31</v>
      </c>
      <c r="F137" s="8" t="s">
        <v>1425</v>
      </c>
      <c r="G137" s="9">
        <v>0</v>
      </c>
      <c r="H137" s="9" t="s">
        <v>125</v>
      </c>
      <c r="I137" s="8" t="s">
        <v>1502</v>
      </c>
      <c r="K137" s="5" t="str">
        <f t="shared" si="15"/>
        <v>INSERT INTO m_code VALUES ('code010',31,'Purpleheart','','パープルハート',0,0.0,'硬く鮮やかでアタックが強い。');</v>
      </c>
    </row>
    <row r="138" spans="2:11">
      <c r="B138" s="8" t="s">
        <v>1427</v>
      </c>
      <c r="C138" s="8" t="s">
        <v>1448</v>
      </c>
      <c r="D138" s="8"/>
      <c r="E138" s="8">
        <v>32</v>
      </c>
      <c r="F138" s="8" t="s">
        <v>1472</v>
      </c>
      <c r="G138" s="9">
        <v>0</v>
      </c>
      <c r="H138" s="9" t="s">
        <v>125</v>
      </c>
      <c r="I138" s="8" t="s">
        <v>1503</v>
      </c>
      <c r="K138" s="5" t="str">
        <f t="shared" si="15"/>
        <v>INSERT INTO m_code VALUES ('code010',32,'Zebrawood','','ゼブラウッド',0,0.0,'明るく硬質でクセのあるトーン。');</v>
      </c>
    </row>
    <row r="139" spans="2:11">
      <c r="B139" s="8" t="s">
        <v>1427</v>
      </c>
      <c r="C139" s="8" t="s">
        <v>1571</v>
      </c>
      <c r="D139" s="8"/>
      <c r="E139" s="8">
        <v>33</v>
      </c>
      <c r="F139" s="8" t="s">
        <v>1572</v>
      </c>
      <c r="G139" s="9">
        <v>0</v>
      </c>
      <c r="H139" s="9" t="s">
        <v>125</v>
      </c>
      <c r="I139" s="8" t="s">
        <v>1573</v>
      </c>
      <c r="K139" s="5" t="str">
        <f t="shared" si="15"/>
        <v>INSERT INTO m_code VALUES ('code010',33,'Okoume','','オクメ',0,0.0,'マホガニーに近く、中低域が豊かで軽量。');</v>
      </c>
    </row>
    <row r="140" spans="2:11">
      <c r="B140" s="8" t="s">
        <v>1427</v>
      </c>
      <c r="C140" s="8" t="s">
        <v>1575</v>
      </c>
      <c r="D140" s="8"/>
      <c r="E140" s="8">
        <v>34</v>
      </c>
      <c r="F140" s="8" t="s">
        <v>1574</v>
      </c>
      <c r="G140" s="9">
        <v>0</v>
      </c>
      <c r="H140" s="9" t="s">
        <v>125</v>
      </c>
      <c r="I140" s="8" t="s">
        <v>1576</v>
      </c>
      <c r="K140" s="5" t="str">
        <f t="shared" ref="K140" si="16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('code010',34,'Meranti','','メランティ',0,0.0,'中域寄りで温かめ、マホガニー系に近い。');</v>
      </c>
    </row>
    <row r="141" spans="2:11">
      <c r="B141" s="8" t="s">
        <v>1427</v>
      </c>
      <c r="C141" s="8" t="s">
        <v>1577</v>
      </c>
      <c r="D141" s="8"/>
      <c r="E141" s="8">
        <v>35</v>
      </c>
      <c r="F141" s="8" t="s">
        <v>1578</v>
      </c>
      <c r="G141" s="9">
        <v>0</v>
      </c>
      <c r="H141" s="9" t="s">
        <v>125</v>
      </c>
      <c r="I141" s="8" t="s">
        <v>1582</v>
      </c>
      <c r="K141" s="5" t="str">
        <f t="shared" ref="K141" si="17">"INSERT INTO m_code VALUES ("&amp;"'"&amp;B141&amp;"'"&amp;","&amp;E141&amp;","&amp;"'"&amp;C141&amp;"'"&amp;","&amp;"'"&amp;D141&amp;"'"&amp;","&amp;"'"&amp;F141&amp;"'"&amp;","&amp;G141&amp;","&amp;H141&amp;","&amp;"'"&amp;I141&amp;"'"&amp;");"</f>
        <v>INSERT INTO m_code VALUES ('code010',35,'Sakura','','サクラ',0,0.0,'中高域が明るく立ち上がりが速い、日本らしい軽快で抜けの良いサウンド。');</v>
      </c>
    </row>
    <row r="142" spans="2:11">
      <c r="B142" s="8" t="s">
        <v>1427</v>
      </c>
      <c r="C142" s="8" t="s">
        <v>1579</v>
      </c>
      <c r="D142" s="8"/>
      <c r="E142" s="8">
        <v>36</v>
      </c>
      <c r="F142" s="8" t="s">
        <v>1580</v>
      </c>
      <c r="G142" s="9">
        <v>0</v>
      </c>
      <c r="H142" s="9" t="s">
        <v>125</v>
      </c>
      <c r="I142" s="8" t="s">
        <v>1581</v>
      </c>
      <c r="K142" s="5" t="str">
        <f t="shared" si="15"/>
        <v>INSERT INTO m_code VALUES ('code010',36,'Tochi','','トチ',0,0.0,'メイプルに近いクリアさと華やかさを持ちつつ、やや柔らかく豊かな倍音.');</v>
      </c>
    </row>
    <row r="143" spans="2:11">
      <c r="B143" s="8" t="s">
        <v>1427</v>
      </c>
      <c r="C143" s="8" t="s">
        <v>1504</v>
      </c>
      <c r="D143" s="8"/>
      <c r="E143" s="8">
        <v>99</v>
      </c>
      <c r="F143" s="8" t="s">
        <v>1504</v>
      </c>
      <c r="G143" s="9">
        <v>0</v>
      </c>
      <c r="H143" s="9" t="s">
        <v>125</v>
      </c>
      <c r="I143" s="8"/>
      <c r="K143" s="5" t="str">
        <f t="shared" ref="K143:K160" si="18">"INSERT INTO m_code VALUES ("&amp;"'"&amp;B143&amp;"'"&amp;","&amp;E143&amp;","&amp;"'"&amp;C143&amp;"'"&amp;","&amp;"'"&amp;D143&amp;"'"&amp;","&amp;"'"&amp;F143&amp;"'"&amp;","&amp;G143&amp;","&amp;H143&amp;","&amp;"'"&amp;I143&amp;"'"&amp;");"</f>
        <v>INSERT INTO m_code VALUES ('code010',99,'省略','','省略',0,0.0,'');</v>
      </c>
    </row>
    <row r="144" spans="2:11">
      <c r="B144" s="6" t="s">
        <v>1515</v>
      </c>
      <c r="C144" s="6" t="s">
        <v>1514</v>
      </c>
      <c r="D144" s="6" t="s">
        <v>1126</v>
      </c>
      <c r="E144" s="7" t="s">
        <v>123</v>
      </c>
      <c r="F144" s="6" t="s">
        <v>120</v>
      </c>
      <c r="G144" s="6" t="s">
        <v>121</v>
      </c>
      <c r="H144" s="6" t="s">
        <v>122</v>
      </c>
      <c r="I144" s="6" t="s">
        <v>133</v>
      </c>
    </row>
    <row r="145" spans="2:11">
      <c r="B145" s="8" t="s">
        <v>1532</v>
      </c>
      <c r="C145" s="8" t="s">
        <v>1516</v>
      </c>
      <c r="D145" s="8"/>
      <c r="E145" s="8">
        <v>1</v>
      </c>
      <c r="F145" s="8" t="s">
        <v>1533</v>
      </c>
      <c r="G145" s="9">
        <v>0</v>
      </c>
      <c r="H145" s="9" t="s">
        <v>125</v>
      </c>
      <c r="I145" s="8"/>
      <c r="K145" s="5" t="str">
        <f t="shared" si="18"/>
        <v>INSERT INTO m_code VALUES ('code011',1,'Red','','レッド',0,0.0,'');</v>
      </c>
    </row>
    <row r="146" spans="2:11">
      <c r="B146" s="8" t="s">
        <v>1532</v>
      </c>
      <c r="C146" s="8" t="s">
        <v>1530</v>
      </c>
      <c r="D146" s="8"/>
      <c r="E146" s="8">
        <v>2</v>
      </c>
      <c r="F146" s="8" t="s">
        <v>1534</v>
      </c>
      <c r="G146" s="9">
        <v>0</v>
      </c>
      <c r="H146" s="9" t="s">
        <v>125</v>
      </c>
      <c r="I146" s="8"/>
      <c r="K146" s="5" t="str">
        <f t="shared" si="18"/>
        <v>INSERT INTO m_code VALUES ('code011',2,'Pink','','ピンク',0,0.0,'');</v>
      </c>
    </row>
    <row r="147" spans="2:11">
      <c r="B147" s="8" t="s">
        <v>1532</v>
      </c>
      <c r="C147" s="8" t="s">
        <v>1517</v>
      </c>
      <c r="D147" s="8"/>
      <c r="E147" s="8">
        <v>3</v>
      </c>
      <c r="F147" s="8" t="s">
        <v>1535</v>
      </c>
      <c r="G147" s="9">
        <v>0</v>
      </c>
      <c r="H147" s="9" t="s">
        <v>125</v>
      </c>
      <c r="I147" s="8"/>
      <c r="K147" s="5" t="str">
        <f t="shared" si="18"/>
        <v>INSERT INTO m_code VALUES ('code011',3,'Orange','','オレンジ',0,0.0,'');</v>
      </c>
    </row>
    <row r="148" spans="2:11">
      <c r="B148" s="8" t="s">
        <v>1532</v>
      </c>
      <c r="C148" s="8" t="s">
        <v>1518</v>
      </c>
      <c r="D148" s="8"/>
      <c r="E148" s="8">
        <v>4</v>
      </c>
      <c r="F148" s="8" t="s">
        <v>1536</v>
      </c>
      <c r="G148" s="9">
        <v>0</v>
      </c>
      <c r="H148" s="9" t="s">
        <v>125</v>
      </c>
      <c r="I148" s="8"/>
      <c r="K148" s="5" t="str">
        <f t="shared" si="18"/>
        <v>INSERT INTO m_code VALUES ('code011',4,'Yellow','','イエロー',0,0.0,'');</v>
      </c>
    </row>
    <row r="149" spans="2:11">
      <c r="B149" s="8" t="s">
        <v>1532</v>
      </c>
      <c r="C149" s="8" t="s">
        <v>1519</v>
      </c>
      <c r="D149" s="8"/>
      <c r="E149" s="8">
        <v>5</v>
      </c>
      <c r="F149" s="8" t="s">
        <v>1537</v>
      </c>
      <c r="G149" s="9">
        <v>0</v>
      </c>
      <c r="H149" s="9" t="s">
        <v>125</v>
      </c>
      <c r="I149" s="8"/>
      <c r="K149" s="5" t="str">
        <f t="shared" si="18"/>
        <v>INSERT INTO m_code VALUES ('code011',5,'Green','','グリーン',0,0.0,'');</v>
      </c>
    </row>
    <row r="150" spans="2:11">
      <c r="B150" s="8" t="s">
        <v>1532</v>
      </c>
      <c r="C150" s="8" t="s">
        <v>1520</v>
      </c>
      <c r="D150" s="8"/>
      <c r="E150" s="8">
        <v>6</v>
      </c>
      <c r="F150" s="8" t="s">
        <v>1538</v>
      </c>
      <c r="G150" s="9">
        <v>0</v>
      </c>
      <c r="H150" s="9" t="s">
        <v>125</v>
      </c>
      <c r="I150" s="8"/>
      <c r="K150" s="5" t="str">
        <f t="shared" si="18"/>
        <v>INSERT INTO m_code VALUES ('code011',6,'SkyBlue','','スカイブルー',0,0.0,'');</v>
      </c>
    </row>
    <row r="151" spans="2:11">
      <c r="B151" s="8" t="s">
        <v>1532</v>
      </c>
      <c r="C151" s="8" t="s">
        <v>1521</v>
      </c>
      <c r="D151" s="8"/>
      <c r="E151" s="8">
        <v>7</v>
      </c>
      <c r="F151" s="8" t="s">
        <v>1539</v>
      </c>
      <c r="G151" s="9">
        <v>0</v>
      </c>
      <c r="H151" s="9" t="s">
        <v>125</v>
      </c>
      <c r="I151" s="8"/>
      <c r="K151" s="5" t="str">
        <f t="shared" si="18"/>
        <v>INSERT INTO m_code VALUES ('code011',7,'Blue','','ブルー',0,0.0,'');</v>
      </c>
    </row>
    <row r="152" spans="2:11">
      <c r="B152" s="8" t="s">
        <v>1532</v>
      </c>
      <c r="C152" s="8" t="s">
        <v>1522</v>
      </c>
      <c r="D152" s="8"/>
      <c r="E152" s="8">
        <v>8</v>
      </c>
      <c r="F152" s="8" t="s">
        <v>1540</v>
      </c>
      <c r="G152" s="9">
        <v>0</v>
      </c>
      <c r="H152" s="9" t="s">
        <v>125</v>
      </c>
      <c r="I152" s="8"/>
      <c r="K152" s="5" t="str">
        <f t="shared" si="18"/>
        <v>INSERT INTO m_code VALUES ('code011',8,'Purple','','パープル',0,0.0,'');</v>
      </c>
    </row>
    <row r="153" spans="2:11">
      <c r="B153" s="8" t="s">
        <v>1532</v>
      </c>
      <c r="C153" s="8" t="s">
        <v>1523</v>
      </c>
      <c r="D153" s="8"/>
      <c r="E153" s="8">
        <v>9</v>
      </c>
      <c r="F153" s="8" t="s">
        <v>1541</v>
      </c>
      <c r="G153" s="9">
        <v>0</v>
      </c>
      <c r="H153" s="9" t="s">
        <v>125</v>
      </c>
      <c r="I153" s="8"/>
      <c r="K153" s="5" t="str">
        <f t="shared" si="18"/>
        <v>INSERT INTO m_code VALUES ('code011',9,'Gray','','グレー',0,0.0,'');</v>
      </c>
    </row>
    <row r="154" spans="2:11">
      <c r="B154" s="8" t="s">
        <v>1532</v>
      </c>
      <c r="C154" s="8" t="s">
        <v>1524</v>
      </c>
      <c r="D154" s="8"/>
      <c r="E154" s="8">
        <v>10</v>
      </c>
      <c r="F154" s="8" t="s">
        <v>1542</v>
      </c>
      <c r="G154" s="9">
        <v>0</v>
      </c>
      <c r="H154" s="9" t="s">
        <v>125</v>
      </c>
      <c r="I154" s="8"/>
      <c r="K154" s="5" t="str">
        <f t="shared" si="18"/>
        <v>INSERT INTO m_code VALUES ('code011',10,'Black','','ブラック',0,0.0,'');</v>
      </c>
    </row>
    <row r="155" spans="2:11">
      <c r="B155" s="8" t="s">
        <v>1532</v>
      </c>
      <c r="C155" s="8" t="s">
        <v>1525</v>
      </c>
      <c r="D155" s="8"/>
      <c r="E155" s="8">
        <v>11</v>
      </c>
      <c r="F155" s="8" t="s">
        <v>1543</v>
      </c>
      <c r="G155" s="9">
        <v>0</v>
      </c>
      <c r="H155" s="9" t="s">
        <v>125</v>
      </c>
      <c r="I155" s="8"/>
      <c r="K155" s="5" t="str">
        <f t="shared" si="18"/>
        <v>INSERT INTO m_code VALUES ('code011',11,'White','','ホワイト',0,0.0,'');</v>
      </c>
    </row>
    <row r="156" spans="2:11">
      <c r="B156" s="8" t="s">
        <v>1532</v>
      </c>
      <c r="C156" s="8" t="s">
        <v>1526</v>
      </c>
      <c r="D156" s="8"/>
      <c r="E156" s="8">
        <v>12</v>
      </c>
      <c r="F156" s="8" t="s">
        <v>1544</v>
      </c>
      <c r="G156" s="9">
        <v>0</v>
      </c>
      <c r="H156" s="9" t="s">
        <v>125</v>
      </c>
      <c r="I156" s="8"/>
      <c r="K156" s="5" t="str">
        <f t="shared" si="18"/>
        <v>INSERT INTO m_code VALUES ('code011',12,'Natural','','ナチュラル',0,0.0,'');</v>
      </c>
    </row>
    <row r="157" spans="2:11">
      <c r="B157" s="8" t="s">
        <v>1532</v>
      </c>
      <c r="C157" s="8" t="s">
        <v>1531</v>
      </c>
      <c r="D157" s="8"/>
      <c r="E157" s="8">
        <v>13</v>
      </c>
      <c r="F157" s="8" t="s">
        <v>1545</v>
      </c>
      <c r="G157" s="9">
        <v>0</v>
      </c>
      <c r="H157" s="9" t="s">
        <v>125</v>
      </c>
      <c r="I157" s="8"/>
      <c r="K157" s="5" t="str">
        <f t="shared" si="18"/>
        <v>INSERT INTO m_code VALUES ('code011',13,'Brown','','ブラウン',0,0.0,'');</v>
      </c>
    </row>
    <row r="158" spans="2:11">
      <c r="B158" s="8" t="s">
        <v>1532</v>
      </c>
      <c r="C158" s="8" t="s">
        <v>1527</v>
      </c>
      <c r="D158" s="8"/>
      <c r="E158" s="8">
        <v>14</v>
      </c>
      <c r="F158" s="8" t="s">
        <v>1546</v>
      </c>
      <c r="G158" s="9">
        <v>0</v>
      </c>
      <c r="H158" s="9" t="s">
        <v>125</v>
      </c>
      <c r="I158" s="8"/>
      <c r="K158" s="5" t="str">
        <f t="shared" si="18"/>
        <v>INSERT INTO m_code VALUES ('code011',14,'Gold','','ゴールド',0,0.0,'');</v>
      </c>
    </row>
    <row r="159" spans="2:11">
      <c r="B159" s="8" t="s">
        <v>1532</v>
      </c>
      <c r="C159" s="8" t="s">
        <v>1528</v>
      </c>
      <c r="D159" s="8"/>
      <c r="E159" s="8">
        <v>15</v>
      </c>
      <c r="F159" s="8" t="s">
        <v>1547</v>
      </c>
      <c r="G159" s="9">
        <v>0</v>
      </c>
      <c r="H159" s="9" t="s">
        <v>125</v>
      </c>
      <c r="I159" s="8"/>
      <c r="K159" s="5" t="str">
        <f t="shared" si="18"/>
        <v>INSERT INTO m_code VALUES ('code011',15,'Silver','','シルバー',0,0.0,'');</v>
      </c>
    </row>
    <row r="160" spans="2:11">
      <c r="B160" s="8" t="s">
        <v>1532</v>
      </c>
      <c r="C160" s="8" t="s">
        <v>1529</v>
      </c>
      <c r="D160" s="8"/>
      <c r="E160" s="8">
        <v>99</v>
      </c>
      <c r="F160" s="8" t="s">
        <v>1548</v>
      </c>
      <c r="G160" s="9">
        <v>0</v>
      </c>
      <c r="H160" s="9" t="s">
        <v>125</v>
      </c>
      <c r="I160" s="8"/>
      <c r="K160" s="5" t="str">
        <f t="shared" si="18"/>
        <v>INSERT INTO m_code VALUES ('code011',99,'Others','','その他',0,0.0,'');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55" activePane="bottomRight" state="frozen"/>
      <selection pane="topRight" activeCell="B1" sqref="B1"/>
      <selection pane="bottomLeft" activeCell="A5" sqref="A5"/>
      <selection pane="bottomRight" activeCell="O33" sqref="O33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1168</v>
      </c>
      <c r="N3" s="12" t="s">
        <v>190</v>
      </c>
      <c r="O3" s="11" t="s">
        <v>26</v>
      </c>
    </row>
    <row r="4" spans="3:17">
      <c r="C4" s="43" t="s">
        <v>1040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1041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1064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1037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1020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1019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1029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1059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1016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1024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1031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1048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1025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1047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1049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1051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1042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1044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1054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1027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1030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1055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1043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1045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1046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1018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1021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1023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1062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1063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1066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1032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1098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1035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1052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1036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1067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1056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1121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1061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1050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1060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1065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1028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1124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1122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1057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1058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1123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1038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1039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1026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1080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1081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1082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1083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1084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1125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1017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1022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1034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1068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1069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1071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1075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1073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1074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1076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1077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1070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1079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1078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1072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1085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1086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1087</v>
      </c>
      <c r="D75" s="8" t="s">
        <v>406</v>
      </c>
      <c r="E75" s="8" t="s">
        <v>410</v>
      </c>
      <c r="F75" s="13" t="s">
        <v>89</v>
      </c>
      <c r="G75" s="8" t="s">
        <v>1166</v>
      </c>
      <c r="H75" s="8" t="s">
        <v>1166</v>
      </c>
      <c r="I75" s="8" t="s">
        <v>1167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1088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1167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1089</v>
      </c>
      <c r="D77" s="8" t="s">
        <v>408</v>
      </c>
      <c r="E77" s="8" t="s">
        <v>415</v>
      </c>
      <c r="F77" s="13" t="s">
        <v>91</v>
      </c>
      <c r="G77" s="8" t="s">
        <v>1161</v>
      </c>
      <c r="H77" s="13" t="s">
        <v>128</v>
      </c>
      <c r="I77" s="8" t="s">
        <v>1167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1090</v>
      </c>
      <c r="D78" s="8" t="s">
        <v>409</v>
      </c>
      <c r="E78" s="8" t="s">
        <v>394</v>
      </c>
      <c r="F78" s="13" t="s">
        <v>91</v>
      </c>
      <c r="G78" s="8" t="s">
        <v>1162</v>
      </c>
      <c r="H78" s="13" t="s">
        <v>128</v>
      </c>
      <c r="I78" s="8" t="s">
        <v>1167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1091</v>
      </c>
      <c r="D79" s="8" t="s">
        <v>411</v>
      </c>
      <c r="E79" s="8" t="s">
        <v>394</v>
      </c>
      <c r="F79" s="13" t="s">
        <v>91</v>
      </c>
      <c r="G79" s="8" t="s">
        <v>1163</v>
      </c>
      <c r="H79" s="13" t="s">
        <v>128</v>
      </c>
      <c r="I79" s="8" t="s">
        <v>1167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1092</v>
      </c>
      <c r="D80" s="8" t="s">
        <v>413</v>
      </c>
      <c r="E80" s="8" t="s">
        <v>394</v>
      </c>
      <c r="F80" s="13" t="s">
        <v>91</v>
      </c>
      <c r="G80" s="8" t="s">
        <v>1164</v>
      </c>
      <c r="H80" s="13" t="s">
        <v>128</v>
      </c>
      <c r="I80" s="8" t="s">
        <v>1167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1093</v>
      </c>
      <c r="D81" s="8" t="s">
        <v>412</v>
      </c>
      <c r="E81" s="8" t="s">
        <v>394</v>
      </c>
      <c r="F81" s="13" t="s">
        <v>91</v>
      </c>
      <c r="G81" s="8" t="s">
        <v>1165</v>
      </c>
      <c r="H81" s="13" t="s">
        <v>128</v>
      </c>
      <c r="I81" s="8" t="s">
        <v>1167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1176</v>
      </c>
      <c r="I5" s="6" t="s">
        <v>149</v>
      </c>
    </row>
    <row r="6" spans="2:17">
      <c r="B6" s="43" t="s">
        <v>419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("&amp;"'"&amp;B6&amp;"'"&amp;","&amp;"'"&amp;C6&amp;"'"&amp;","&amp;VLOOKUP(D6,コード!$C$48:$I$107,3,FALSE)&amp;","&amp;E6&amp;","&amp;F6&amp;","&amp;G6&amp;","&amp;H6&amp;","&amp;VLOOKUP(I6,コード!$C$5:$I$11,3,FALSE)&amp;");"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421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("&amp;"'"&amp;B7&amp;"'"&amp;","&amp;"'"&amp;C7&amp;"'"&amp;","&amp;VLOOKUP(D7,コード!$C$48:$I$107,3,FALSE)&amp;","&amp;E7&amp;","&amp;F7&amp;","&amp;G7&amp;","&amp;H7&amp;","&amp;VLOOKUP(I7,コード!$C$5:$I$11,3,FALSE)&amp;");"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422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("&amp;"'"&amp;B8&amp;"'"&amp;","&amp;"'"&amp;C8&amp;"'"&amp;","&amp;VLOOKUP(D8,コード!$C$48:$I$107,3,FALSE)&amp;","&amp;E8&amp;","&amp;F8&amp;","&amp;G8&amp;","&amp;H8&amp;","&amp;VLOOKUP(I8,コード!$C$5:$I$11,3,FALSE)&amp;");"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423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("&amp;"'"&amp;B9&amp;"'"&amp;","&amp;"'"&amp;C9&amp;"'"&amp;","&amp;VLOOKUP(D9,コード!$C$48:$I$107,3,FALSE)&amp;","&amp;E9&amp;","&amp;F9&amp;","&amp;G9&amp;","&amp;H9&amp;","&amp;VLOOKUP(I9,コード!$C$5:$I$11,3,FALSE)&amp;");"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424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("&amp;"'"&amp;B10&amp;"'"&amp;","&amp;"'"&amp;C10&amp;"'"&amp;","&amp;VLOOKUP(D10,コード!$C$48:$I$107,3,FALSE)&amp;","&amp;E10&amp;","&amp;F10&amp;","&amp;G10&amp;","&amp;H10&amp;","&amp;VLOOKUP(I10,コード!$C$5:$I$11,3,FALSE)&amp;");"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425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("&amp;"'"&amp;B11&amp;"'"&amp;","&amp;"'"&amp;C11&amp;"'"&amp;","&amp;VLOOKUP(D11,コード!$C$48:$I$107,3,FALSE)&amp;","&amp;E11&amp;","&amp;F11&amp;","&amp;G11&amp;","&amp;H11&amp;","&amp;VLOOKUP(I11,コード!$C$5:$I$11,3,FALSE)&amp;");"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426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("&amp;"'"&amp;B12&amp;"'"&amp;","&amp;"'"&amp;C12&amp;"'"&amp;","&amp;VLOOKUP(D12,コード!$C$48:$I$107,3,FALSE)&amp;","&amp;E12&amp;","&amp;F12&amp;","&amp;G12&amp;","&amp;H12&amp;","&amp;VLOOKUP(I12,コード!$C$5:$I$11,3,FALSE)&amp;");"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427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("&amp;"'"&amp;B13&amp;"'"&amp;","&amp;"'"&amp;C13&amp;"'"&amp;","&amp;VLOOKUP(D13,コード!$C$48:$I$107,3,FALSE)&amp;","&amp;E13&amp;","&amp;F13&amp;","&amp;G13&amp;","&amp;H13&amp;","&amp;VLOOKUP(I13,コード!$C$5:$I$11,3,FALSE)&amp;");"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428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("&amp;"'"&amp;B14&amp;"'"&amp;","&amp;"'"&amp;C14&amp;"'"&amp;","&amp;VLOOKUP(D14,コード!$C$48:$I$107,3,FALSE)&amp;","&amp;E14&amp;","&amp;F14&amp;","&amp;G14&amp;","&amp;H14&amp;","&amp;VLOOKUP(I14,コード!$C$5:$I$11,3,FALSE)&amp;");"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429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("&amp;"'"&amp;B15&amp;"'"&amp;","&amp;"'"&amp;C15&amp;"'"&amp;","&amp;VLOOKUP(D15,コード!$C$48:$I$107,3,FALSE)&amp;","&amp;E15&amp;","&amp;F15&amp;","&amp;G15&amp;","&amp;H15&amp;","&amp;VLOOKUP(I15,コード!$C$5:$I$11,3,FALSE)&amp;");"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430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("&amp;"'"&amp;B16&amp;"'"&amp;","&amp;"'"&amp;C16&amp;"'"&amp;","&amp;VLOOKUP(D16,コード!$C$48:$I$107,3,FALSE)&amp;","&amp;E16&amp;","&amp;F16&amp;","&amp;G16&amp;","&amp;H16&amp;","&amp;VLOOKUP(I16,コード!$C$5:$I$11,3,FALSE)&amp;");"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431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("&amp;"'"&amp;B17&amp;"'"&amp;","&amp;"'"&amp;C17&amp;"'"&amp;","&amp;VLOOKUP(D17,コード!$C$48:$I$107,3,FALSE)&amp;","&amp;E17&amp;","&amp;F17&amp;","&amp;G17&amp;","&amp;H17&amp;","&amp;VLOOKUP(I17,コード!$C$5:$I$11,3,FALSE)&amp;");"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432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("&amp;"'"&amp;B18&amp;"'"&amp;","&amp;"'"&amp;C18&amp;"'"&amp;","&amp;VLOOKUP(D18,コード!$C$48:$I$107,3,FALSE)&amp;","&amp;E18&amp;","&amp;F18&amp;","&amp;G18&amp;","&amp;H18&amp;","&amp;VLOOKUP(I18,コード!$C$5:$I$11,3,FALSE)&amp;");"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433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("&amp;"'"&amp;B19&amp;"'"&amp;","&amp;"'"&amp;C19&amp;"'"&amp;","&amp;VLOOKUP(D19,コード!$C$48:$I$107,3,FALSE)&amp;","&amp;E19&amp;","&amp;F19&amp;","&amp;G19&amp;","&amp;H19&amp;","&amp;VLOOKUP(I19,コード!$C$5:$I$11,3,FALSE)&amp;");"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434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("&amp;"'"&amp;B20&amp;"'"&amp;","&amp;"'"&amp;C20&amp;"'"&amp;","&amp;VLOOKUP(D20,コード!$C$48:$I$107,3,FALSE)&amp;","&amp;E20&amp;","&amp;F20&amp;","&amp;G20&amp;","&amp;H20&amp;","&amp;VLOOKUP(I20,コード!$C$5:$I$11,3,FALSE)&amp;");"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435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("&amp;"'"&amp;B21&amp;"'"&amp;","&amp;"'"&amp;C21&amp;"'"&amp;","&amp;VLOOKUP(D21,コード!$C$48:$I$107,3,FALSE)&amp;","&amp;E21&amp;","&amp;F21&amp;","&amp;G21&amp;","&amp;H21&amp;","&amp;VLOOKUP(I21,コード!$C$5:$I$11,3,FALSE)&amp;");"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436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("&amp;"'"&amp;B22&amp;"'"&amp;","&amp;"'"&amp;C22&amp;"'"&amp;","&amp;VLOOKUP(D22,コード!$C$48:$I$107,3,FALSE)&amp;","&amp;E22&amp;","&amp;F22&amp;","&amp;G22&amp;","&amp;H22&amp;","&amp;VLOOKUP(I22,コード!$C$5:$I$11,3,FALSE)&amp;");"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437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("&amp;"'"&amp;B23&amp;"'"&amp;","&amp;"'"&amp;C23&amp;"'"&amp;","&amp;VLOOKUP(D23,コード!$C$48:$I$107,3,FALSE)&amp;","&amp;E23&amp;","&amp;F23&amp;","&amp;G23&amp;","&amp;H23&amp;","&amp;VLOOKUP(I23,コード!$C$5:$I$11,3,FALSE)&amp;");"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438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("&amp;"'"&amp;B24&amp;"'"&amp;","&amp;"'"&amp;C24&amp;"'"&amp;","&amp;VLOOKUP(D24,コード!$C$48:$I$107,3,FALSE)&amp;","&amp;E24&amp;","&amp;F24&amp;","&amp;G24&amp;","&amp;H24&amp;","&amp;VLOOKUP(I24,コード!$C$5:$I$11,3,FALSE)&amp;");"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439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("&amp;"'"&amp;B25&amp;"'"&amp;","&amp;"'"&amp;C25&amp;"'"&amp;","&amp;VLOOKUP(D25,コード!$C$48:$I$107,3,FALSE)&amp;","&amp;E25&amp;","&amp;F25&amp;","&amp;G25&amp;","&amp;H25&amp;","&amp;VLOOKUP(I25,コード!$C$5:$I$11,3,FALSE)&amp;");"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440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("&amp;"'"&amp;B26&amp;"'"&amp;","&amp;"'"&amp;C26&amp;"'"&amp;","&amp;VLOOKUP(D26,コード!$C$48:$I$107,3,FALSE)&amp;","&amp;E26&amp;","&amp;F26&amp;","&amp;G26&amp;","&amp;H26&amp;","&amp;VLOOKUP(I26,コード!$C$5:$I$11,3,FALSE)&amp;");"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441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("&amp;"'"&amp;B27&amp;"'"&amp;","&amp;"'"&amp;C27&amp;"'"&amp;","&amp;VLOOKUP(D27,コード!$C$48:$I$107,3,FALSE)&amp;","&amp;E27&amp;","&amp;F27&amp;","&amp;G27&amp;","&amp;H27&amp;","&amp;VLOOKUP(I27,コード!$C$5:$I$11,3,FALSE)&amp;");"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442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("&amp;"'"&amp;B28&amp;"'"&amp;","&amp;"'"&amp;C28&amp;"'"&amp;","&amp;VLOOKUP(D28,コード!$C$48:$I$107,3,FALSE)&amp;","&amp;E28&amp;","&amp;F28&amp;","&amp;G28&amp;","&amp;H28&amp;","&amp;VLOOKUP(I28,コード!$C$5:$I$11,3,FALSE)&amp;");"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443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("&amp;"'"&amp;B29&amp;"'"&amp;","&amp;"'"&amp;C29&amp;"'"&amp;","&amp;VLOOKUP(D29,コード!$C$48:$I$107,3,FALSE)&amp;","&amp;E29&amp;","&amp;F29&amp;","&amp;G29&amp;","&amp;H29&amp;","&amp;VLOOKUP(I29,コード!$C$5:$I$11,3,FALSE)&amp;");"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444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("&amp;"'"&amp;B30&amp;"'"&amp;","&amp;"'"&amp;C30&amp;"'"&amp;","&amp;VLOOKUP(D30,コード!$C$48:$I$107,3,FALSE)&amp;","&amp;E30&amp;","&amp;F30&amp;","&amp;G30&amp;","&amp;H30&amp;","&amp;VLOOKUP(I30,コード!$C$5:$I$11,3,FALSE)&amp;");"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445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("&amp;"'"&amp;B31&amp;"'"&amp;","&amp;"'"&amp;C31&amp;"'"&amp;","&amp;VLOOKUP(D31,コード!$C$48:$I$107,3,FALSE)&amp;","&amp;E31&amp;","&amp;F31&amp;","&amp;G31&amp;","&amp;H31&amp;","&amp;VLOOKUP(I31,コード!$C$5:$I$11,3,FALSE)&amp;");"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446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("&amp;"'"&amp;B32&amp;"'"&amp;","&amp;"'"&amp;C32&amp;"'"&amp;","&amp;VLOOKUP(D32,コード!$C$48:$I$107,3,FALSE)&amp;","&amp;E32&amp;","&amp;F32&amp;","&amp;G32&amp;","&amp;H32&amp;","&amp;VLOOKUP(I32,コード!$C$5:$I$11,3,FALSE)&amp;");"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447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("&amp;"'"&amp;B33&amp;"'"&amp;","&amp;"'"&amp;C33&amp;"'"&amp;","&amp;VLOOKUP(D33,コード!$C$48:$I$107,3,FALSE)&amp;","&amp;E33&amp;","&amp;F33&amp;","&amp;G33&amp;","&amp;H33&amp;","&amp;VLOOKUP(I33,コード!$C$5:$I$11,3,FALSE)&amp;");"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448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("&amp;"'"&amp;B34&amp;"'"&amp;","&amp;"'"&amp;C34&amp;"'"&amp;","&amp;VLOOKUP(D34,コード!$C$48:$I$107,3,FALSE)&amp;","&amp;E34&amp;","&amp;F34&amp;","&amp;G34&amp;","&amp;H34&amp;","&amp;VLOOKUP(I34,コード!$C$5:$I$11,3,FALSE)&amp;");"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449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("&amp;"'"&amp;B35&amp;"'"&amp;","&amp;"'"&amp;C35&amp;"'"&amp;","&amp;VLOOKUP(D35,コード!$C$48:$I$107,3,FALSE)&amp;","&amp;E35&amp;","&amp;F35&amp;","&amp;G35&amp;","&amp;H35&amp;","&amp;VLOOKUP(I35,コード!$C$5:$I$11,3,FALSE)&amp;");"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450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("&amp;"'"&amp;B36&amp;"'"&amp;","&amp;"'"&amp;C36&amp;"'"&amp;","&amp;VLOOKUP(D36,コード!$C$48:$I$107,3,FALSE)&amp;","&amp;E36&amp;","&amp;F36&amp;","&amp;G36&amp;","&amp;H36&amp;","&amp;VLOOKUP(I36,コード!$C$5:$I$11,3,FALSE)&amp;");"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451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("&amp;"'"&amp;B37&amp;"'"&amp;","&amp;"'"&amp;C37&amp;"'"&amp;","&amp;VLOOKUP(D37,コード!$C$48:$I$107,3,FALSE)&amp;","&amp;E37&amp;","&amp;F37&amp;","&amp;G37&amp;","&amp;H37&amp;","&amp;VLOOKUP(I37,コード!$C$5:$I$11,3,FALSE)&amp;");"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452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("&amp;"'"&amp;B38&amp;"'"&amp;","&amp;"'"&amp;C38&amp;"'"&amp;","&amp;VLOOKUP(D38,コード!$C$48:$I$107,3,FALSE)&amp;","&amp;E38&amp;","&amp;F38&amp;","&amp;G38&amp;","&amp;H38&amp;","&amp;VLOOKUP(I38,コード!$C$5:$I$11,3,FALSE)&amp;");"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453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("&amp;"'"&amp;B39&amp;"'"&amp;","&amp;"'"&amp;C39&amp;"'"&amp;","&amp;VLOOKUP(D39,コード!$C$48:$I$107,3,FALSE)&amp;","&amp;E39&amp;","&amp;F39&amp;","&amp;G39&amp;","&amp;H39&amp;","&amp;VLOOKUP(I39,コード!$C$5:$I$11,3,FALSE)&amp;");"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454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("&amp;"'"&amp;B40&amp;"'"&amp;","&amp;"'"&amp;C40&amp;"'"&amp;","&amp;VLOOKUP(D40,コード!$C$48:$I$107,3,FALSE)&amp;","&amp;E40&amp;","&amp;F40&amp;","&amp;G40&amp;","&amp;H40&amp;","&amp;VLOOKUP(I40,コード!$C$5:$I$11,3,FALSE)&amp;");"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455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("&amp;"'"&amp;B41&amp;"'"&amp;","&amp;"'"&amp;C41&amp;"'"&amp;","&amp;VLOOKUP(D41,コード!$C$48:$I$107,3,FALSE)&amp;","&amp;E41&amp;","&amp;F41&amp;","&amp;G41&amp;","&amp;H41&amp;","&amp;VLOOKUP(I41,コード!$C$5:$I$11,3,FALSE)&amp;");"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456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("&amp;"'"&amp;B42&amp;"'"&amp;","&amp;"'"&amp;C42&amp;"'"&amp;","&amp;VLOOKUP(D42,コード!$C$48:$I$107,3,FALSE)&amp;","&amp;E42&amp;","&amp;F42&amp;","&amp;G42&amp;","&amp;H42&amp;","&amp;VLOOKUP(I42,コード!$C$5:$I$11,3,FALSE)&amp;");"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457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("&amp;"'"&amp;B43&amp;"'"&amp;","&amp;"'"&amp;C43&amp;"'"&amp;","&amp;VLOOKUP(D43,コード!$C$48:$I$107,3,FALSE)&amp;","&amp;E43&amp;","&amp;F43&amp;","&amp;G43&amp;","&amp;H43&amp;","&amp;VLOOKUP(I43,コード!$C$5:$I$11,3,FALSE)&amp;");"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458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("&amp;"'"&amp;B44&amp;"'"&amp;","&amp;"'"&amp;C44&amp;"'"&amp;","&amp;VLOOKUP(D44,コード!$C$48:$I$107,3,FALSE)&amp;","&amp;E44&amp;","&amp;F44&amp;","&amp;G44&amp;","&amp;H44&amp;","&amp;VLOOKUP(I44,コード!$C$5:$I$11,3,FALSE)&amp;");"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459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("&amp;"'"&amp;B45&amp;"'"&amp;","&amp;"'"&amp;C45&amp;"'"&amp;","&amp;VLOOKUP(D45,コード!$C$48:$I$107,3,FALSE)&amp;","&amp;E45&amp;","&amp;F45&amp;","&amp;G45&amp;","&amp;H45&amp;","&amp;VLOOKUP(I45,コード!$C$5:$I$11,3,FALSE)&amp;");"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460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("&amp;"'"&amp;B46&amp;"'"&amp;","&amp;"'"&amp;C46&amp;"'"&amp;","&amp;VLOOKUP(D46,コード!$C$48:$I$107,3,FALSE)&amp;","&amp;E46&amp;","&amp;F46&amp;","&amp;G46&amp;","&amp;H46&amp;","&amp;VLOOKUP(I46,コード!$C$5:$I$11,3,FALSE)&amp;");"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461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("&amp;"'"&amp;B47&amp;"'"&amp;","&amp;"'"&amp;C47&amp;"'"&amp;","&amp;VLOOKUP(D47,コード!$C$48:$I$107,3,FALSE)&amp;","&amp;E47&amp;","&amp;F47&amp;","&amp;G47&amp;","&amp;H47&amp;","&amp;VLOOKUP(I47,コード!$C$5:$I$11,3,FALSE)&amp;");"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462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("&amp;"'"&amp;B48&amp;"'"&amp;","&amp;"'"&amp;C48&amp;"'"&amp;","&amp;VLOOKUP(D48,コード!$C$48:$I$107,3,FALSE)&amp;","&amp;E48&amp;","&amp;F48&amp;","&amp;G48&amp;","&amp;H48&amp;","&amp;VLOOKUP(I48,コード!$C$5:$I$11,3,FALSE)&amp;");"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463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("&amp;"'"&amp;B49&amp;"'"&amp;","&amp;"'"&amp;C49&amp;"'"&amp;","&amp;VLOOKUP(D49,コード!$C$48:$I$107,3,FALSE)&amp;","&amp;E49&amp;","&amp;F49&amp;","&amp;G49&amp;","&amp;H49&amp;","&amp;VLOOKUP(I49,コード!$C$5:$I$11,3,FALSE)&amp;");"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464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("&amp;"'"&amp;B50&amp;"'"&amp;","&amp;"'"&amp;C50&amp;"'"&amp;","&amp;VLOOKUP(D50,コード!$C$48:$I$107,3,FALSE)&amp;","&amp;E50&amp;","&amp;F50&amp;","&amp;G50&amp;","&amp;H50&amp;","&amp;VLOOKUP(I50,コード!$C$5:$I$11,3,FALSE)&amp;");"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465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("&amp;"'"&amp;B51&amp;"'"&amp;","&amp;"'"&amp;C51&amp;"'"&amp;","&amp;VLOOKUP(D51,コード!$C$48:$I$107,3,FALSE)&amp;","&amp;E51&amp;","&amp;F51&amp;","&amp;G51&amp;","&amp;H51&amp;","&amp;VLOOKUP(I51,コード!$C$5:$I$11,3,FALSE)&amp;");"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466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("&amp;"'"&amp;B52&amp;"'"&amp;","&amp;"'"&amp;C52&amp;"'"&amp;","&amp;VLOOKUP(D52,コード!$C$48:$I$107,3,FALSE)&amp;","&amp;E52&amp;","&amp;F52&amp;","&amp;G52&amp;","&amp;H52&amp;","&amp;VLOOKUP(I52,コード!$C$5:$I$11,3,FALSE)&amp;");"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467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("&amp;"'"&amp;B53&amp;"'"&amp;","&amp;"'"&amp;C53&amp;"'"&amp;","&amp;VLOOKUP(D53,コード!$C$48:$I$107,3,FALSE)&amp;","&amp;E53&amp;","&amp;F53&amp;","&amp;G53&amp;","&amp;H53&amp;","&amp;VLOOKUP(I53,コード!$C$5:$I$11,3,FALSE)&amp;");"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468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("&amp;"'"&amp;B54&amp;"'"&amp;","&amp;"'"&amp;C54&amp;"'"&amp;","&amp;VLOOKUP(D54,コード!$C$48:$I$107,3,FALSE)&amp;","&amp;E54&amp;","&amp;F54&amp;","&amp;G54&amp;","&amp;H54&amp;","&amp;VLOOKUP(I54,コード!$C$5:$I$11,3,FALSE)&amp;");"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469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("&amp;"'"&amp;B55&amp;"'"&amp;","&amp;"'"&amp;C55&amp;"'"&amp;","&amp;VLOOKUP(D55,コード!$C$48:$I$107,3,FALSE)&amp;","&amp;E55&amp;","&amp;F55&amp;","&amp;G55&amp;","&amp;H55&amp;","&amp;VLOOKUP(I55,コード!$C$5:$I$11,3,FALSE)&amp;");"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470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("&amp;"'"&amp;B56&amp;"'"&amp;","&amp;"'"&amp;C56&amp;"'"&amp;","&amp;VLOOKUP(D56,コード!$C$48:$I$107,3,FALSE)&amp;","&amp;E56&amp;","&amp;F56&amp;","&amp;G56&amp;","&amp;H56&amp;","&amp;VLOOKUP(I56,コード!$C$5:$I$11,3,FALSE)&amp;");"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471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("&amp;"'"&amp;B57&amp;"'"&amp;","&amp;"'"&amp;C57&amp;"'"&amp;","&amp;VLOOKUP(D57,コード!$C$48:$I$107,3,FALSE)&amp;","&amp;E57&amp;","&amp;F57&amp;","&amp;G57&amp;","&amp;H57&amp;","&amp;VLOOKUP(I57,コード!$C$5:$I$11,3,FALSE)&amp;");"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472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("&amp;"'"&amp;B58&amp;"'"&amp;","&amp;"'"&amp;C58&amp;"'"&amp;","&amp;VLOOKUP(D58,コード!$C$48:$I$107,3,FALSE)&amp;","&amp;E58&amp;","&amp;F58&amp;","&amp;G58&amp;","&amp;H58&amp;","&amp;VLOOKUP(I58,コード!$C$5:$I$11,3,FALSE)&amp;");"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473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("&amp;"'"&amp;B59&amp;"'"&amp;","&amp;"'"&amp;C59&amp;"'"&amp;","&amp;VLOOKUP(D59,コード!$C$48:$I$107,3,FALSE)&amp;","&amp;E59&amp;","&amp;F59&amp;","&amp;G59&amp;","&amp;H59&amp;","&amp;VLOOKUP(I59,コード!$C$5:$I$11,3,FALSE)&amp;");"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474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("&amp;"'"&amp;B60&amp;"'"&amp;","&amp;"'"&amp;C60&amp;"'"&amp;","&amp;VLOOKUP(D60,コード!$C$48:$I$107,3,FALSE)&amp;","&amp;E60&amp;","&amp;F60&amp;","&amp;G60&amp;","&amp;H60&amp;","&amp;VLOOKUP(I60,コード!$C$5:$I$11,3,FALSE)&amp;");"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475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("&amp;"'"&amp;B61&amp;"'"&amp;","&amp;"'"&amp;C61&amp;"'"&amp;","&amp;VLOOKUP(D61,コード!$C$48:$I$107,3,FALSE)&amp;","&amp;E61&amp;","&amp;F61&amp;","&amp;G61&amp;","&amp;H61&amp;","&amp;VLOOKUP(I61,コード!$C$5:$I$11,3,FALSE)&amp;");"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476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("&amp;"'"&amp;B62&amp;"'"&amp;","&amp;"'"&amp;C62&amp;"'"&amp;","&amp;VLOOKUP(D62,コード!$C$48:$I$107,3,FALSE)&amp;","&amp;E62&amp;","&amp;F62&amp;","&amp;G62&amp;","&amp;H62&amp;","&amp;VLOOKUP(I62,コード!$C$5:$I$11,3,FALSE)&amp;");"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477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("&amp;"'"&amp;B63&amp;"'"&amp;","&amp;"'"&amp;C63&amp;"'"&amp;","&amp;VLOOKUP(D63,コード!$C$48:$I$107,3,FALSE)&amp;","&amp;E63&amp;","&amp;F63&amp;","&amp;G63&amp;","&amp;H63&amp;","&amp;VLOOKUP(I63,コード!$C$5:$I$11,3,FALSE)&amp;");"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478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("&amp;"'"&amp;B64&amp;"'"&amp;","&amp;"'"&amp;C64&amp;"'"&amp;","&amp;VLOOKUP(D64,コード!$C$48:$I$107,3,FALSE)&amp;","&amp;E64&amp;","&amp;F64&amp;","&amp;G64&amp;","&amp;H64&amp;","&amp;VLOOKUP(I64,コード!$C$5:$I$11,3,FALSE)&amp;");"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479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("&amp;"'"&amp;B65&amp;"'"&amp;","&amp;"'"&amp;C65&amp;"'"&amp;","&amp;VLOOKUP(D65,コード!$C$48:$I$107,3,FALSE)&amp;","&amp;E65&amp;","&amp;F65&amp;","&amp;G65&amp;","&amp;H65&amp;","&amp;VLOOKUP(I65,コード!$C$5:$I$11,3,FALSE)&amp;");"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480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("&amp;"'"&amp;B66&amp;"'"&amp;","&amp;"'"&amp;C66&amp;"'"&amp;","&amp;VLOOKUP(D66,コード!$C$48:$I$107,3,FALSE)&amp;","&amp;E66&amp;","&amp;F66&amp;","&amp;G66&amp;","&amp;H66&amp;","&amp;VLOOKUP(I66,コード!$C$5:$I$11,3,FALSE)&amp;");"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481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("&amp;"'"&amp;B67&amp;"'"&amp;","&amp;"'"&amp;C67&amp;"'"&amp;","&amp;VLOOKUP(D67,コード!$C$48:$I$107,3,FALSE)&amp;","&amp;E67&amp;","&amp;F67&amp;","&amp;G67&amp;","&amp;H67&amp;","&amp;VLOOKUP(I67,コード!$C$5:$I$11,3,FALSE)&amp;");"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482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("&amp;"'"&amp;B68&amp;"'"&amp;","&amp;"'"&amp;C68&amp;"'"&amp;","&amp;VLOOKUP(D68,コード!$C$48:$I$107,3,FALSE)&amp;","&amp;E68&amp;","&amp;F68&amp;","&amp;G68&amp;","&amp;H68&amp;","&amp;VLOOKUP(I68,コード!$C$5:$I$11,3,FALSE)&amp;");"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483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("&amp;"'"&amp;B69&amp;"'"&amp;","&amp;"'"&amp;C69&amp;"'"&amp;","&amp;VLOOKUP(D69,コード!$C$48:$I$107,3,FALSE)&amp;","&amp;E69&amp;","&amp;F69&amp;","&amp;G69&amp;","&amp;H69&amp;","&amp;VLOOKUP(I69,コード!$C$5:$I$11,3,FALSE)&amp;");"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484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("&amp;"'"&amp;B70&amp;"'"&amp;","&amp;"'"&amp;C70&amp;"'"&amp;","&amp;VLOOKUP(D70,コード!$C$48:$I$107,3,FALSE)&amp;","&amp;E70&amp;","&amp;F70&amp;","&amp;G70&amp;","&amp;H70&amp;","&amp;VLOOKUP(I70,コード!$C$5:$I$11,3,FALSE)&amp;");"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485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("&amp;"'"&amp;B71&amp;"'"&amp;","&amp;"'"&amp;C71&amp;"'"&amp;","&amp;VLOOKUP(D71,コード!$C$48:$I$107,3,FALSE)&amp;","&amp;E71&amp;","&amp;F71&amp;","&amp;G71&amp;","&amp;H71&amp;","&amp;VLOOKUP(I71,コード!$C$5:$I$11,3,FALSE)&amp;");"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486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("&amp;"'"&amp;B72&amp;"'"&amp;","&amp;"'"&amp;C72&amp;"'"&amp;","&amp;VLOOKUP(D72,コード!$C$48:$I$107,3,FALSE)&amp;","&amp;E72&amp;","&amp;F72&amp;","&amp;G72&amp;","&amp;H72&amp;","&amp;VLOOKUP(I72,コード!$C$5:$I$11,3,FALSE)&amp;");"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487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("&amp;"'"&amp;B73&amp;"'"&amp;","&amp;"'"&amp;C73&amp;"'"&amp;","&amp;VLOOKUP(D73,コード!$C$48:$I$107,3,FALSE)&amp;","&amp;E73&amp;","&amp;F73&amp;","&amp;G73&amp;","&amp;H73&amp;","&amp;VLOOKUP(I73,コード!$C$5:$I$11,3,FALSE)&amp;");"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488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("&amp;"'"&amp;B74&amp;"'"&amp;","&amp;"'"&amp;C74&amp;"'"&amp;","&amp;VLOOKUP(D74,コード!$C$48:$I$107,3,FALSE)&amp;","&amp;E74&amp;","&amp;F74&amp;","&amp;G74&amp;","&amp;H74&amp;","&amp;VLOOKUP(I74,コード!$C$5:$I$11,3,FALSE)&amp;");"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489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("&amp;"'"&amp;B75&amp;"'"&amp;","&amp;"'"&amp;C75&amp;"'"&amp;","&amp;VLOOKUP(D75,コード!$C$48:$I$107,3,FALSE)&amp;","&amp;E75&amp;","&amp;F75&amp;","&amp;G75&amp;","&amp;H75&amp;","&amp;VLOOKUP(I75,コード!$C$5:$I$11,3,FALSE)&amp;");"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490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("&amp;"'"&amp;B76&amp;"'"&amp;","&amp;"'"&amp;C76&amp;"'"&amp;","&amp;VLOOKUP(D76,コード!$C$48:$I$107,3,FALSE)&amp;","&amp;E76&amp;","&amp;F76&amp;","&amp;G76&amp;","&amp;H76&amp;","&amp;VLOOKUP(I76,コード!$C$5:$I$11,3,FALSE)&amp;");"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491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("&amp;"'"&amp;B77&amp;"'"&amp;","&amp;"'"&amp;C77&amp;"'"&amp;","&amp;VLOOKUP(D77,コード!$C$48:$I$107,3,FALSE)&amp;","&amp;E77&amp;","&amp;F77&amp;","&amp;G77&amp;","&amp;H77&amp;","&amp;VLOOKUP(I77,コード!$C$5:$I$11,3,FALSE)&amp;");"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492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("&amp;"'"&amp;B78&amp;"'"&amp;","&amp;"'"&amp;C78&amp;"'"&amp;","&amp;VLOOKUP(D78,コード!$C$48:$I$107,3,FALSE)&amp;","&amp;E78&amp;","&amp;F78&amp;","&amp;G78&amp;","&amp;H78&amp;","&amp;VLOOKUP(I78,コード!$C$5:$I$11,3,FALSE)&amp;");"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493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("&amp;"'"&amp;B79&amp;"'"&amp;","&amp;"'"&amp;C79&amp;"'"&amp;","&amp;VLOOKUP(D79,コード!$C$48:$I$107,3,FALSE)&amp;","&amp;E79&amp;","&amp;F79&amp;","&amp;G79&amp;","&amp;H79&amp;","&amp;VLOOKUP(I79,コード!$C$5:$I$11,3,FALSE)&amp;");"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494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("&amp;"'"&amp;B80&amp;"'"&amp;","&amp;"'"&amp;C80&amp;"'"&amp;","&amp;VLOOKUP(D80,コード!$C$48:$I$107,3,FALSE)&amp;","&amp;E80&amp;","&amp;F80&amp;","&amp;G80&amp;","&amp;H80&amp;","&amp;VLOOKUP(I80,コード!$C$5:$I$11,3,FALSE)&amp;");"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495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("&amp;"'"&amp;B81&amp;"'"&amp;","&amp;"'"&amp;C81&amp;"'"&amp;","&amp;VLOOKUP(D81,コード!$C$48:$I$107,3,FALSE)&amp;","&amp;E81&amp;","&amp;F81&amp;","&amp;G81&amp;","&amp;H81&amp;","&amp;VLOOKUP(I81,コード!$C$5:$I$11,3,FALSE)&amp;");"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496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("&amp;"'"&amp;B82&amp;"'"&amp;","&amp;"'"&amp;C82&amp;"'"&amp;","&amp;VLOOKUP(D82,コード!$C$48:$I$107,3,FALSE)&amp;","&amp;E82&amp;","&amp;F82&amp;","&amp;G82&amp;","&amp;H82&amp;","&amp;VLOOKUP(I82,コード!$C$5:$I$11,3,FALSE)&amp;");"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497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("&amp;"'"&amp;B83&amp;"'"&amp;","&amp;"'"&amp;C83&amp;"'"&amp;","&amp;VLOOKUP(D83,コード!$C$48:$I$107,3,FALSE)&amp;","&amp;E83&amp;","&amp;F83&amp;","&amp;G83&amp;","&amp;H83&amp;","&amp;VLOOKUP(I83,コード!$C$5:$I$11,3,FALSE)&amp;");"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498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("&amp;"'"&amp;B84&amp;"'"&amp;","&amp;"'"&amp;C84&amp;"'"&amp;","&amp;VLOOKUP(D84,コード!$C$48:$I$107,3,FALSE)&amp;","&amp;E84&amp;","&amp;F84&amp;","&amp;G84&amp;","&amp;H84&amp;","&amp;VLOOKUP(I84,コード!$C$5:$I$11,3,FALSE)&amp;");"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499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("&amp;"'"&amp;B85&amp;"'"&amp;","&amp;"'"&amp;C85&amp;"'"&amp;","&amp;VLOOKUP(D85,コード!$C$48:$I$107,3,FALSE)&amp;","&amp;E85&amp;","&amp;F85&amp;","&amp;G85&amp;","&amp;H85&amp;","&amp;VLOOKUP(I85,コード!$C$5:$I$11,3,FALSE)&amp;");"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500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("&amp;"'"&amp;B86&amp;"'"&amp;","&amp;"'"&amp;C86&amp;"'"&amp;","&amp;VLOOKUP(D86,コード!$C$48:$I$107,3,FALSE)&amp;","&amp;E86&amp;","&amp;F86&amp;","&amp;G86&amp;","&amp;H86&amp;","&amp;VLOOKUP(I86,コード!$C$5:$I$11,3,FALSE)&amp;");"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501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("&amp;"'"&amp;B87&amp;"'"&amp;","&amp;"'"&amp;C87&amp;"'"&amp;","&amp;VLOOKUP(D87,コード!$C$48:$I$107,3,FALSE)&amp;","&amp;E87&amp;","&amp;F87&amp;","&amp;G87&amp;","&amp;H87&amp;","&amp;VLOOKUP(I87,コード!$C$5:$I$11,3,FALSE)&amp;");"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502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("&amp;"'"&amp;B88&amp;"'"&amp;","&amp;"'"&amp;C88&amp;"'"&amp;","&amp;VLOOKUP(D88,コード!$C$48:$I$107,3,FALSE)&amp;","&amp;E88&amp;","&amp;F88&amp;","&amp;G88&amp;","&amp;H88&amp;","&amp;VLOOKUP(I88,コード!$C$5:$I$11,3,FALSE)&amp;");"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503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("&amp;"'"&amp;B89&amp;"'"&amp;","&amp;"'"&amp;C89&amp;"'"&amp;","&amp;VLOOKUP(D89,コード!$C$48:$I$107,3,FALSE)&amp;","&amp;E89&amp;","&amp;F89&amp;","&amp;G89&amp;","&amp;H89&amp;","&amp;VLOOKUP(I89,コード!$C$5:$I$11,3,FALSE)&amp;");"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topLeftCell="A74"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417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511</v>
      </c>
      <c r="C5" s="21" t="s">
        <v>418</v>
      </c>
      <c r="D5" s="21" t="s">
        <v>1016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1040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512</v>
      </c>
      <c r="C6" s="21" t="s">
        <v>418</v>
      </c>
      <c r="D6" s="21" t="s">
        <v>1016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1041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513</v>
      </c>
      <c r="C7" s="21" t="s">
        <v>418</v>
      </c>
      <c r="D7" s="21" t="s">
        <v>1171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1064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514</v>
      </c>
      <c r="C8" s="21" t="s">
        <v>418</v>
      </c>
      <c r="D8" s="21" t="s">
        <v>1017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1037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515</v>
      </c>
      <c r="C9" s="21" t="s">
        <v>418</v>
      </c>
      <c r="D9" s="21" t="s">
        <v>1018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1020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516</v>
      </c>
      <c r="C10" s="21" t="s">
        <v>418</v>
      </c>
      <c r="D10" s="21" t="s">
        <v>1018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1019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517</v>
      </c>
      <c r="C11" s="21" t="s">
        <v>420</v>
      </c>
      <c r="D11" s="21" t="s">
        <v>1016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1029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518</v>
      </c>
      <c r="C12" s="21" t="s">
        <v>420</v>
      </c>
      <c r="D12" s="21" t="s">
        <v>1019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1059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519</v>
      </c>
      <c r="C13" s="21" t="s">
        <v>420</v>
      </c>
      <c r="D13" s="21" t="s">
        <v>1017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1016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520</v>
      </c>
      <c r="C14" s="21" t="s">
        <v>420</v>
      </c>
      <c r="D14" s="21" t="s">
        <v>1171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1024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521</v>
      </c>
      <c r="C15" s="21" t="s">
        <v>420</v>
      </c>
      <c r="D15" s="21" t="s">
        <v>1018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1031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522</v>
      </c>
      <c r="C16" s="21" t="s">
        <v>420</v>
      </c>
      <c r="D16" s="21" t="s">
        <v>1021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1048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523</v>
      </c>
      <c r="C17" s="21" t="s">
        <v>422</v>
      </c>
      <c r="D17" s="21" t="s">
        <v>1016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1025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524</v>
      </c>
      <c r="C18" s="21" t="s">
        <v>422</v>
      </c>
      <c r="D18" s="21" t="s">
        <v>1171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1047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525</v>
      </c>
      <c r="C19" s="21" t="s">
        <v>422</v>
      </c>
      <c r="D19" s="21" t="s">
        <v>1022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1049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526</v>
      </c>
      <c r="C20" s="21" t="s">
        <v>422</v>
      </c>
      <c r="D20" s="21" t="s">
        <v>1019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1051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527</v>
      </c>
      <c r="C21" s="21" t="s">
        <v>422</v>
      </c>
      <c r="D21" s="21" t="s">
        <v>1018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1042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528</v>
      </c>
      <c r="C22" s="21" t="s">
        <v>422</v>
      </c>
      <c r="D22" s="21" t="s">
        <v>1023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1044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529</v>
      </c>
      <c r="C23" s="21" t="s">
        <v>423</v>
      </c>
      <c r="D23" s="21" t="s">
        <v>1016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1054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530</v>
      </c>
      <c r="C24" s="21" t="s">
        <v>423</v>
      </c>
      <c r="D24" s="21" t="s">
        <v>1017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1027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531</v>
      </c>
      <c r="C25" s="21" t="s">
        <v>423</v>
      </c>
      <c r="D25" s="21" t="s">
        <v>1024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1030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532</v>
      </c>
      <c r="C26" s="21" t="s">
        <v>423</v>
      </c>
      <c r="D26" s="21" t="s">
        <v>1025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1055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533</v>
      </c>
      <c r="C27" s="21" t="s">
        <v>423</v>
      </c>
      <c r="D27" s="21" t="s">
        <v>1026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1043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534</v>
      </c>
      <c r="C28" s="21" t="s">
        <v>423</v>
      </c>
      <c r="D28" s="21" t="s">
        <v>1027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1045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535</v>
      </c>
      <c r="C29" s="21" t="s">
        <v>424</v>
      </c>
      <c r="D29" s="21" t="s">
        <v>1026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1046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536</v>
      </c>
      <c r="C30" s="21" t="s">
        <v>424</v>
      </c>
      <c r="D30" s="21" t="s">
        <v>1028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1018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537</v>
      </c>
      <c r="C31" s="21" t="s">
        <v>424</v>
      </c>
      <c r="D31" s="21" t="s">
        <v>1024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1021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538</v>
      </c>
      <c r="C32" s="21" t="s">
        <v>424</v>
      </c>
      <c r="D32" s="21" t="s">
        <v>1029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1023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539</v>
      </c>
      <c r="C33" s="21" t="s">
        <v>424</v>
      </c>
      <c r="D33" s="21" t="s">
        <v>1021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1062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540</v>
      </c>
      <c r="C34" s="21" t="s">
        <v>424</v>
      </c>
      <c r="D34" s="21" t="s">
        <v>1030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1063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541</v>
      </c>
      <c r="C35" s="21" t="s">
        <v>425</v>
      </c>
      <c r="D35" s="21" t="s">
        <v>1031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1066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542</v>
      </c>
      <c r="C36" s="21" t="s">
        <v>425</v>
      </c>
      <c r="D36" s="21" t="s">
        <v>1032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1032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543</v>
      </c>
      <c r="C37" s="21" t="s">
        <v>425</v>
      </c>
      <c r="D37" s="21" t="s">
        <v>1033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1033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544</v>
      </c>
      <c r="C38" s="21" t="s">
        <v>425</v>
      </c>
      <c r="D38" s="21" t="s">
        <v>1016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1035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545</v>
      </c>
      <c r="C39" s="21" t="s">
        <v>425</v>
      </c>
      <c r="D39" s="21" t="s">
        <v>1016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1052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546</v>
      </c>
      <c r="C40" s="21" t="s">
        <v>425</v>
      </c>
      <c r="D40" s="21" t="s">
        <v>1034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1036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547</v>
      </c>
      <c r="C41" s="21" t="s">
        <v>426</v>
      </c>
      <c r="D41" s="21" t="s">
        <v>1033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1067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548</v>
      </c>
      <c r="C42" s="21" t="s">
        <v>426</v>
      </c>
      <c r="D42" s="21" t="s">
        <v>1035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1056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549</v>
      </c>
      <c r="C43" s="21" t="s">
        <v>426</v>
      </c>
      <c r="D43" s="21" t="s">
        <v>1036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1061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550</v>
      </c>
      <c r="C44" s="21" t="s">
        <v>426</v>
      </c>
      <c r="D44" s="21" t="s">
        <v>1037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1050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551</v>
      </c>
      <c r="C45" s="21" t="s">
        <v>426</v>
      </c>
      <c r="D45" s="21" t="s">
        <v>1031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1060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552</v>
      </c>
      <c r="C46" s="21" t="s">
        <v>426</v>
      </c>
      <c r="D46" s="21" t="s">
        <v>1034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1065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553</v>
      </c>
      <c r="C47" s="21" t="s">
        <v>427</v>
      </c>
      <c r="D47" s="21" t="s">
        <v>1169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1028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554</v>
      </c>
      <c r="C48" s="21" t="s">
        <v>427</v>
      </c>
      <c r="D48" s="21" t="s">
        <v>1016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1053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555</v>
      </c>
      <c r="C49" s="21" t="s">
        <v>427</v>
      </c>
      <c r="D49" s="21" t="s">
        <v>1016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1057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556</v>
      </c>
      <c r="C50" s="21" t="s">
        <v>427</v>
      </c>
      <c r="D50" s="21" t="s">
        <v>1017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1058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557</v>
      </c>
      <c r="C51" s="21" t="s">
        <v>427</v>
      </c>
      <c r="D51" s="21" t="s">
        <v>1031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1038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558</v>
      </c>
      <c r="C52" s="21" t="s">
        <v>427</v>
      </c>
      <c r="D52" s="21" t="s">
        <v>1031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1039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559</v>
      </c>
      <c r="C53" s="21" t="s">
        <v>428</v>
      </c>
      <c r="D53" s="21" t="s">
        <v>1016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1026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560</v>
      </c>
      <c r="C54" s="21" t="s">
        <v>428</v>
      </c>
      <c r="D54" s="21" t="s">
        <v>1017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1080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561</v>
      </c>
      <c r="C55" s="21" t="s">
        <v>428</v>
      </c>
      <c r="D55" s="21" t="s">
        <v>1024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1081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562</v>
      </c>
      <c r="C56" s="21" t="s">
        <v>428</v>
      </c>
      <c r="D56" s="21" t="s">
        <v>1025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1082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563</v>
      </c>
      <c r="C57" s="21" t="s">
        <v>428</v>
      </c>
      <c r="D57" s="21" t="s">
        <v>1169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1083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564</v>
      </c>
      <c r="C58" s="21" t="s">
        <v>428</v>
      </c>
      <c r="D58" s="21" t="s">
        <v>1038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1084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565</v>
      </c>
      <c r="C59" s="21" t="s">
        <v>429</v>
      </c>
      <c r="D59" s="21" t="s">
        <v>1016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1017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566</v>
      </c>
      <c r="C60" s="21" t="s">
        <v>429</v>
      </c>
      <c r="D60" s="21" t="s">
        <v>1025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1022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567</v>
      </c>
      <c r="C61" s="21" t="s">
        <v>429</v>
      </c>
      <c r="D61" s="21" t="s">
        <v>1022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1034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568</v>
      </c>
      <c r="C62" s="21" t="s">
        <v>429</v>
      </c>
      <c r="D62" s="21" t="s">
        <v>1024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1068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569</v>
      </c>
      <c r="C63" s="21" t="s">
        <v>429</v>
      </c>
      <c r="D63" s="21" t="s">
        <v>1169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1069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570</v>
      </c>
      <c r="C64" s="21" t="s">
        <v>429</v>
      </c>
      <c r="D64" s="21" t="s">
        <v>1039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1071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571</v>
      </c>
      <c r="C65" s="21" t="s">
        <v>430</v>
      </c>
      <c r="D65" s="21" t="s">
        <v>1040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1075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572</v>
      </c>
      <c r="C66" s="21" t="s">
        <v>430</v>
      </c>
      <c r="D66" s="21" t="s">
        <v>1040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1073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573</v>
      </c>
      <c r="C67" s="21" t="s">
        <v>430</v>
      </c>
      <c r="D67" s="21" t="s">
        <v>1041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1074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574</v>
      </c>
      <c r="C68" s="21" t="s">
        <v>430</v>
      </c>
      <c r="D68" s="21" t="s">
        <v>1042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1076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575</v>
      </c>
      <c r="C69" s="21" t="s">
        <v>430</v>
      </c>
      <c r="D69" s="21" t="s">
        <v>1043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1077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576</v>
      </c>
      <c r="C70" s="21" t="s">
        <v>430</v>
      </c>
      <c r="D70" s="21" t="s">
        <v>1017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1070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577</v>
      </c>
      <c r="C71" s="21" t="s">
        <v>431</v>
      </c>
      <c r="D71" s="21" t="s">
        <v>1040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1079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578</v>
      </c>
      <c r="C72" s="21" t="s">
        <v>431</v>
      </c>
      <c r="D72" s="21" t="s">
        <v>1041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1078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579</v>
      </c>
      <c r="C73" s="21" t="s">
        <v>431</v>
      </c>
      <c r="D73" s="21" t="s">
        <v>1044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1072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580</v>
      </c>
      <c r="C74" s="21" t="s">
        <v>431</v>
      </c>
      <c r="D74" s="21" t="s">
        <v>1045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1085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581</v>
      </c>
      <c r="C75" s="21" t="s">
        <v>431</v>
      </c>
      <c r="D75" s="21" t="s">
        <v>1020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1086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582</v>
      </c>
      <c r="C76" s="21" t="s">
        <v>431</v>
      </c>
      <c r="D76" s="21" t="s">
        <v>1017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1087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583</v>
      </c>
      <c r="C77" s="21" t="s">
        <v>432</v>
      </c>
      <c r="D77" s="21" t="s">
        <v>1041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1088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584</v>
      </c>
      <c r="C78" s="21" t="s">
        <v>432</v>
      </c>
      <c r="D78" s="21" t="s">
        <v>1037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1089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585</v>
      </c>
      <c r="C79" s="21" t="s">
        <v>432</v>
      </c>
      <c r="D79" s="21" t="s">
        <v>1044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1090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586</v>
      </c>
      <c r="C80" s="21" t="s">
        <v>432</v>
      </c>
      <c r="D80" s="21" t="s">
        <v>1046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1091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587</v>
      </c>
      <c r="C81" s="21" t="s">
        <v>432</v>
      </c>
      <c r="D81" s="21" t="s">
        <v>1022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1092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588</v>
      </c>
      <c r="C82" s="21" t="s">
        <v>432</v>
      </c>
      <c r="D82" s="21" t="s">
        <v>1019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1093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589</v>
      </c>
      <c r="C83" s="21" t="s">
        <v>433</v>
      </c>
      <c r="D83" s="21" t="s">
        <v>1024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1094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590</v>
      </c>
      <c r="C84" s="21" t="s">
        <v>433</v>
      </c>
      <c r="D84" s="21" t="s">
        <v>1025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1095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591</v>
      </c>
      <c r="C85" s="21" t="s">
        <v>433</v>
      </c>
      <c r="D85" s="21" t="s">
        <v>1022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1096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592</v>
      </c>
      <c r="C86" s="21" t="s">
        <v>433</v>
      </c>
      <c r="D86" s="21" t="s">
        <v>1026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1097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593</v>
      </c>
      <c r="C87" s="21" t="s">
        <v>433</v>
      </c>
      <c r="D87" s="21" t="s">
        <v>1043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594</v>
      </c>
      <c r="C88" s="21" t="s">
        <v>433</v>
      </c>
      <c r="D88" s="21" t="s">
        <v>1018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595</v>
      </c>
      <c r="C89" s="21" t="s">
        <v>434</v>
      </c>
      <c r="D89" s="21" t="s">
        <v>1027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596</v>
      </c>
      <c r="C90" s="21" t="s">
        <v>434</v>
      </c>
      <c r="D90" s="21" t="s">
        <v>1024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597</v>
      </c>
      <c r="C91" s="21" t="s">
        <v>434</v>
      </c>
      <c r="D91" s="21" t="s">
        <v>1025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598</v>
      </c>
      <c r="C92" s="21" t="s">
        <v>434</v>
      </c>
      <c r="D92" s="21" t="s">
        <v>1026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599</v>
      </c>
      <c r="C93" s="21" t="s">
        <v>434</v>
      </c>
      <c r="D93" s="21" t="s">
        <v>1030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600</v>
      </c>
      <c r="C94" s="21" t="s">
        <v>434</v>
      </c>
      <c r="D94" s="21" t="s">
        <v>1017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601</v>
      </c>
      <c r="C95" s="21" t="s">
        <v>435</v>
      </c>
      <c r="D95" s="21" t="s">
        <v>1016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602</v>
      </c>
      <c r="C96" s="21" t="s">
        <v>435</v>
      </c>
      <c r="D96" s="21" t="s">
        <v>1178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603</v>
      </c>
      <c r="C97" s="21" t="s">
        <v>435</v>
      </c>
      <c r="D97" s="21" t="s">
        <v>1025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604</v>
      </c>
      <c r="C98" s="21" t="s">
        <v>435</v>
      </c>
      <c r="D98" s="21" t="s">
        <v>1025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605</v>
      </c>
      <c r="C99" s="21" t="s">
        <v>435</v>
      </c>
      <c r="D99" s="21" t="s">
        <v>1031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606</v>
      </c>
      <c r="C100" s="21" t="s">
        <v>435</v>
      </c>
      <c r="D100" s="21" t="s">
        <v>1017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607</v>
      </c>
      <c r="C101" s="21" t="s">
        <v>436</v>
      </c>
      <c r="D101" s="21" t="s">
        <v>1022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608</v>
      </c>
      <c r="C102" s="21" t="s">
        <v>436</v>
      </c>
      <c r="D102" s="21" t="s">
        <v>1031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609</v>
      </c>
      <c r="C103" s="21" t="s">
        <v>436</v>
      </c>
      <c r="D103" s="21" t="s">
        <v>1016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610</v>
      </c>
      <c r="C104" s="21" t="s">
        <v>436</v>
      </c>
      <c r="D104" s="21" t="s">
        <v>1024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611</v>
      </c>
      <c r="C105" s="21" t="s">
        <v>436</v>
      </c>
      <c r="D105" s="21" t="s">
        <v>1025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612</v>
      </c>
      <c r="C106" s="21" t="s">
        <v>436</v>
      </c>
      <c r="D106" s="21" t="s">
        <v>1047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613</v>
      </c>
      <c r="C107" s="21" t="s">
        <v>437</v>
      </c>
      <c r="D107" s="21" t="s">
        <v>1034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614</v>
      </c>
      <c r="C108" s="21" t="s">
        <v>437</v>
      </c>
      <c r="D108" s="21" t="s">
        <v>1022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615</v>
      </c>
      <c r="C109" s="21" t="s">
        <v>437</v>
      </c>
      <c r="D109" s="21" t="s">
        <v>1048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616</v>
      </c>
      <c r="C110" s="21" t="s">
        <v>437</v>
      </c>
      <c r="D110" s="21" t="s">
        <v>1049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617</v>
      </c>
      <c r="C111" s="21" t="s">
        <v>437</v>
      </c>
      <c r="D111" s="21" t="s">
        <v>1050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618</v>
      </c>
      <c r="C112" s="21" t="s">
        <v>437</v>
      </c>
      <c r="D112" s="21" t="s">
        <v>1051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619</v>
      </c>
      <c r="C113" s="21" t="s">
        <v>438</v>
      </c>
      <c r="D113" s="21" t="s">
        <v>1042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620</v>
      </c>
      <c r="C114" s="21" t="s">
        <v>438</v>
      </c>
      <c r="D114" s="21" t="s">
        <v>1027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621</v>
      </c>
      <c r="C115" s="21" t="s">
        <v>438</v>
      </c>
      <c r="D115" s="21" t="s">
        <v>1043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622</v>
      </c>
      <c r="C116" s="21" t="s">
        <v>438</v>
      </c>
      <c r="D116" s="21" t="s">
        <v>1018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623</v>
      </c>
      <c r="C117" s="21" t="s">
        <v>438</v>
      </c>
      <c r="D117" s="21" t="s">
        <v>1017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624</v>
      </c>
      <c r="C118" s="21" t="s">
        <v>438</v>
      </c>
      <c r="D118" s="21" t="s">
        <v>1052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625</v>
      </c>
      <c r="C119" s="21" t="s">
        <v>439</v>
      </c>
      <c r="D119" s="21" t="s">
        <v>1044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626</v>
      </c>
      <c r="C120" s="21" t="s">
        <v>439</v>
      </c>
      <c r="D120" s="21" t="s">
        <v>1030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627</v>
      </c>
      <c r="C121" s="21" t="s">
        <v>439</v>
      </c>
      <c r="D121" s="21" t="s">
        <v>1045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628</v>
      </c>
      <c r="C122" s="21" t="s">
        <v>439</v>
      </c>
      <c r="D122" s="21" t="s">
        <v>1021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629</v>
      </c>
      <c r="C123" s="21" t="s">
        <v>439</v>
      </c>
      <c r="D123" s="21" t="s">
        <v>1053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630</v>
      </c>
      <c r="C124" s="21" t="s">
        <v>439</v>
      </c>
      <c r="D124" s="21" t="s">
        <v>1178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631</v>
      </c>
      <c r="C125" s="21" t="s">
        <v>440</v>
      </c>
      <c r="D125" s="21" t="s">
        <v>1054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632</v>
      </c>
      <c r="C126" s="21" t="s">
        <v>440</v>
      </c>
      <c r="D126" s="21" t="s">
        <v>1055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633</v>
      </c>
      <c r="C127" s="21" t="s">
        <v>440</v>
      </c>
      <c r="D127" s="21" t="s">
        <v>1046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634</v>
      </c>
      <c r="C128" s="21" t="s">
        <v>440</v>
      </c>
      <c r="D128" s="21" t="s">
        <v>1021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635</v>
      </c>
      <c r="C129" s="21" t="s">
        <v>440</v>
      </c>
      <c r="D129" s="21" t="s">
        <v>1179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636</v>
      </c>
      <c r="C130" s="21" t="s">
        <v>440</v>
      </c>
      <c r="D130" s="21" t="s">
        <v>1056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637</v>
      </c>
      <c r="C131" s="21" t="s">
        <v>441</v>
      </c>
      <c r="D131" s="21" t="s">
        <v>1040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638</v>
      </c>
      <c r="C132" s="21" t="s">
        <v>441</v>
      </c>
      <c r="D132" s="21" t="s">
        <v>1040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639</v>
      </c>
      <c r="C133" s="21" t="s">
        <v>441</v>
      </c>
      <c r="D133" s="21" t="s">
        <v>1053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640</v>
      </c>
      <c r="C134" s="21" t="s">
        <v>441</v>
      </c>
      <c r="D134" s="21" t="s">
        <v>1038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641</v>
      </c>
      <c r="C135" s="21" t="s">
        <v>441</v>
      </c>
      <c r="D135" s="21" t="s">
        <v>1017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642</v>
      </c>
      <c r="C136" s="21" t="s">
        <v>441</v>
      </c>
      <c r="D136" s="21" t="s">
        <v>1024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643</v>
      </c>
      <c r="C137" s="21" t="s">
        <v>442</v>
      </c>
      <c r="D137" s="21" t="s">
        <v>1041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644</v>
      </c>
      <c r="C138" s="21" t="s">
        <v>442</v>
      </c>
      <c r="D138" s="21" t="s">
        <v>1040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645</v>
      </c>
      <c r="C139" s="21" t="s">
        <v>442</v>
      </c>
      <c r="D139" s="21" t="s">
        <v>1057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646</v>
      </c>
      <c r="C140" s="21" t="s">
        <v>442</v>
      </c>
      <c r="D140" s="21" t="s">
        <v>1058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647</v>
      </c>
      <c r="C141" s="21" t="s">
        <v>442</v>
      </c>
      <c r="D141" s="21" t="s">
        <v>1017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648</v>
      </c>
      <c r="C142" s="21" t="s">
        <v>442</v>
      </c>
      <c r="D142" s="21" t="s">
        <v>1041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649</v>
      </c>
      <c r="C143" s="21" t="s">
        <v>443</v>
      </c>
      <c r="D143" s="21" t="s">
        <v>1016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650</v>
      </c>
      <c r="C144" s="21" t="s">
        <v>443</v>
      </c>
      <c r="D144" s="21" t="s">
        <v>1016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651</v>
      </c>
      <c r="C145" s="21" t="s">
        <v>443</v>
      </c>
      <c r="D145" s="21" t="s">
        <v>1016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652</v>
      </c>
      <c r="C146" s="21" t="s">
        <v>443</v>
      </c>
      <c r="D146" s="21" t="s">
        <v>1018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653</v>
      </c>
      <c r="C147" s="21" t="s">
        <v>443</v>
      </c>
      <c r="D147" s="21" t="s">
        <v>1052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654</v>
      </c>
      <c r="C148" s="21" t="s">
        <v>443</v>
      </c>
      <c r="D148" s="21" t="s">
        <v>1017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655</v>
      </c>
      <c r="C149" s="21" t="s">
        <v>444</v>
      </c>
      <c r="D149" s="21" t="s">
        <v>1016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656</v>
      </c>
      <c r="C150" s="21" t="s">
        <v>444</v>
      </c>
      <c r="D150" s="21" t="s">
        <v>1024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657</v>
      </c>
      <c r="C151" s="21" t="s">
        <v>444</v>
      </c>
      <c r="D151" s="21" t="s">
        <v>1016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658</v>
      </c>
      <c r="C152" s="21" t="s">
        <v>444</v>
      </c>
      <c r="D152" s="21" t="s">
        <v>1018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659</v>
      </c>
      <c r="C153" s="21" t="s">
        <v>444</v>
      </c>
      <c r="D153" s="21" t="s">
        <v>1036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660</v>
      </c>
      <c r="C154" s="21" t="s">
        <v>444</v>
      </c>
      <c r="D154" s="21" t="s">
        <v>1017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661</v>
      </c>
      <c r="C155" s="21" t="s">
        <v>445</v>
      </c>
      <c r="D155" s="21" t="s">
        <v>1040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662</v>
      </c>
      <c r="C156" s="21" t="s">
        <v>445</v>
      </c>
      <c r="D156" s="21" t="s">
        <v>1016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663</v>
      </c>
      <c r="C157" s="21" t="s">
        <v>445</v>
      </c>
      <c r="D157" s="21" t="s">
        <v>1042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664</v>
      </c>
      <c r="C158" s="21" t="s">
        <v>445</v>
      </c>
      <c r="D158" s="21" t="s">
        <v>1053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665</v>
      </c>
      <c r="C159" s="21" t="s">
        <v>445</v>
      </c>
      <c r="D159" s="21" t="s">
        <v>1017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666</v>
      </c>
      <c r="C160" s="21" t="s">
        <v>445</v>
      </c>
      <c r="D160" s="21" t="s">
        <v>1053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667</v>
      </c>
      <c r="C161" s="21" t="s">
        <v>446</v>
      </c>
      <c r="D161" s="21" t="s">
        <v>1175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668</v>
      </c>
      <c r="C162" s="21" t="s">
        <v>446</v>
      </c>
      <c r="D162" s="21" t="s">
        <v>1041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669</v>
      </c>
      <c r="C163" s="21" t="s">
        <v>446</v>
      </c>
      <c r="D163" s="21" t="s">
        <v>1033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670</v>
      </c>
      <c r="C164" s="21" t="s">
        <v>446</v>
      </c>
      <c r="D164" s="21" t="s">
        <v>1038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671</v>
      </c>
      <c r="C165" s="21" t="s">
        <v>446</v>
      </c>
      <c r="D165" s="21" t="s">
        <v>1017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672</v>
      </c>
      <c r="C166" s="21" t="s">
        <v>446</v>
      </c>
      <c r="D166" s="21" t="s">
        <v>1032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673</v>
      </c>
      <c r="C167" s="21" t="s">
        <v>447</v>
      </c>
      <c r="D167" s="21" t="s">
        <v>1030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674</v>
      </c>
      <c r="C168" s="21" t="s">
        <v>447</v>
      </c>
      <c r="D168" s="21" t="s">
        <v>1179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675</v>
      </c>
      <c r="C169" s="21" t="s">
        <v>447</v>
      </c>
      <c r="D169" s="21" t="s">
        <v>1055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676</v>
      </c>
      <c r="C170" s="21" t="s">
        <v>447</v>
      </c>
      <c r="D170" s="21" t="s">
        <v>1041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677</v>
      </c>
      <c r="C171" s="21" t="s">
        <v>447</v>
      </c>
      <c r="D171" s="21" t="s">
        <v>1017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678</v>
      </c>
      <c r="C172" s="21" t="s">
        <v>447</v>
      </c>
      <c r="D172" s="21" t="s">
        <v>1016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679</v>
      </c>
      <c r="C173" s="21" t="s">
        <v>448</v>
      </c>
      <c r="D173" s="21" t="s">
        <v>1031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680</v>
      </c>
      <c r="C174" s="21" t="s">
        <v>448</v>
      </c>
      <c r="D174" s="21" t="s">
        <v>1059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681</v>
      </c>
      <c r="C175" s="21" t="s">
        <v>448</v>
      </c>
      <c r="D175" s="21" t="s">
        <v>1017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682</v>
      </c>
      <c r="C176" s="21" t="s">
        <v>448</v>
      </c>
      <c r="D176" s="21" t="s">
        <v>1057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683</v>
      </c>
      <c r="C177" s="21" t="s">
        <v>448</v>
      </c>
      <c r="D177" s="21" t="s">
        <v>1046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684</v>
      </c>
      <c r="C178" s="21" t="s">
        <v>448</v>
      </c>
      <c r="D178" s="21" t="s">
        <v>1060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685</v>
      </c>
      <c r="C179" s="21" t="s">
        <v>449</v>
      </c>
      <c r="D179" s="21" t="s">
        <v>1040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686</v>
      </c>
      <c r="C180" s="21" t="s">
        <v>449</v>
      </c>
      <c r="D180" s="21" t="s">
        <v>1040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687</v>
      </c>
      <c r="C181" s="21" t="s">
        <v>449</v>
      </c>
      <c r="D181" s="21" t="s">
        <v>1061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688</v>
      </c>
      <c r="C182" s="21" t="s">
        <v>449</v>
      </c>
      <c r="D182" s="21" t="s">
        <v>1062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689</v>
      </c>
      <c r="C183" s="21" t="s">
        <v>449</v>
      </c>
      <c r="D183" s="21" t="s">
        <v>1062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690</v>
      </c>
      <c r="C184" s="21" t="s">
        <v>449</v>
      </c>
      <c r="D184" s="21" t="s">
        <v>1017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691</v>
      </c>
      <c r="C185" s="21" t="s">
        <v>450</v>
      </c>
      <c r="D185" s="21" t="s">
        <v>1040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692</v>
      </c>
      <c r="C186" s="21" t="s">
        <v>450</v>
      </c>
      <c r="D186" s="21" t="s">
        <v>1041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693</v>
      </c>
      <c r="C187" s="21" t="s">
        <v>450</v>
      </c>
      <c r="D187" s="21" t="s">
        <v>1028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694</v>
      </c>
      <c r="C188" s="21" t="s">
        <v>450</v>
      </c>
      <c r="D188" s="21" t="s">
        <v>1062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695</v>
      </c>
      <c r="C189" s="21" t="s">
        <v>450</v>
      </c>
      <c r="D189" s="21" t="s">
        <v>1063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696</v>
      </c>
      <c r="C190" s="21" t="s">
        <v>450</v>
      </c>
      <c r="D190" s="21" t="s">
        <v>1017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697</v>
      </c>
      <c r="C191" s="21" t="s">
        <v>451</v>
      </c>
      <c r="D191" s="21" t="s">
        <v>1064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698</v>
      </c>
      <c r="C192" s="21" t="s">
        <v>451</v>
      </c>
      <c r="D192" s="21" t="s">
        <v>1041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699</v>
      </c>
      <c r="C193" s="21" t="s">
        <v>451</v>
      </c>
      <c r="D193" s="21" t="s">
        <v>1065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700</v>
      </c>
      <c r="C194" s="21" t="s">
        <v>451</v>
      </c>
      <c r="D194" s="21" t="s">
        <v>1062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701</v>
      </c>
      <c r="C195" s="21" t="s">
        <v>451</v>
      </c>
      <c r="D195" s="21" t="s">
        <v>1066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702</v>
      </c>
      <c r="C196" s="21" t="s">
        <v>451</v>
      </c>
      <c r="D196" s="21" t="s">
        <v>1022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703</v>
      </c>
      <c r="C197" s="21" t="s">
        <v>452</v>
      </c>
      <c r="D197" s="21" t="s">
        <v>1040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704</v>
      </c>
      <c r="C198" s="21" t="s">
        <v>452</v>
      </c>
      <c r="D198" s="21" t="s">
        <v>1052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705</v>
      </c>
      <c r="C199" s="21" t="s">
        <v>452</v>
      </c>
      <c r="D199" s="21" t="s">
        <v>1182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706</v>
      </c>
      <c r="C200" s="21" t="s">
        <v>452</v>
      </c>
      <c r="D200" s="21" t="s">
        <v>1032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707</v>
      </c>
      <c r="C201" s="21" t="s">
        <v>452</v>
      </c>
      <c r="D201" s="21" t="s">
        <v>1061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708</v>
      </c>
      <c r="C202" s="21" t="s">
        <v>452</v>
      </c>
      <c r="D202" s="21" t="s">
        <v>1017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709</v>
      </c>
      <c r="C203" s="21" t="s">
        <v>453</v>
      </c>
      <c r="D203" s="21" t="s">
        <v>1041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710</v>
      </c>
      <c r="C204" s="21" t="s">
        <v>453</v>
      </c>
      <c r="D204" s="21" t="s">
        <v>1036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711</v>
      </c>
      <c r="C205" s="21" t="s">
        <v>453</v>
      </c>
      <c r="D205" s="21" t="s">
        <v>1032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712</v>
      </c>
      <c r="C206" s="21" t="s">
        <v>453</v>
      </c>
      <c r="D206" s="21" t="s">
        <v>1033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713</v>
      </c>
      <c r="C207" s="21" t="s">
        <v>453</v>
      </c>
      <c r="D207" s="21" t="s">
        <v>1050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714</v>
      </c>
      <c r="C208" s="21" t="s">
        <v>453</v>
      </c>
      <c r="D208" s="21" t="s">
        <v>1017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715</v>
      </c>
      <c r="C209" s="21" t="s">
        <v>454</v>
      </c>
      <c r="D209" s="21" t="s">
        <v>1041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716</v>
      </c>
      <c r="C210" s="21" t="s">
        <v>454</v>
      </c>
      <c r="D210" s="21" t="s">
        <v>1056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717</v>
      </c>
      <c r="C211" s="21" t="s">
        <v>454</v>
      </c>
      <c r="D211" s="21" t="s">
        <v>1035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718</v>
      </c>
      <c r="C212" s="21" t="s">
        <v>454</v>
      </c>
      <c r="D212" s="21" t="s">
        <v>1063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719</v>
      </c>
      <c r="C213" s="21" t="s">
        <v>454</v>
      </c>
      <c r="D213" s="21" t="s">
        <v>1067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720</v>
      </c>
      <c r="C214" s="21" t="s">
        <v>454</v>
      </c>
      <c r="D214" s="21" t="s">
        <v>1017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721</v>
      </c>
      <c r="C215" s="21" t="s">
        <v>455</v>
      </c>
      <c r="D215" s="21" t="s">
        <v>1040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722</v>
      </c>
      <c r="C216" s="21" t="s">
        <v>455</v>
      </c>
      <c r="D216" s="21" t="s">
        <v>1040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723</v>
      </c>
      <c r="C217" s="21" t="s">
        <v>455</v>
      </c>
      <c r="D217" s="21" t="s">
        <v>1040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724</v>
      </c>
      <c r="C218" s="21" t="s">
        <v>455</v>
      </c>
      <c r="D218" s="21" t="s">
        <v>1040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725</v>
      </c>
      <c r="C219" s="21" t="s">
        <v>455</v>
      </c>
      <c r="D219" s="21" t="s">
        <v>1041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726</v>
      </c>
      <c r="C220" s="21" t="s">
        <v>455</v>
      </c>
      <c r="D220" s="21" t="s">
        <v>1041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727</v>
      </c>
      <c r="C221" s="21" t="s">
        <v>456</v>
      </c>
      <c r="D221" s="21" t="s">
        <v>1050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728</v>
      </c>
      <c r="C222" s="21" t="s">
        <v>456</v>
      </c>
      <c r="D222" s="21" t="s">
        <v>1062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729</v>
      </c>
      <c r="C223" s="21" t="s">
        <v>456</v>
      </c>
      <c r="D223" s="21" t="s">
        <v>1040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730</v>
      </c>
      <c r="C224" s="21" t="s">
        <v>456</v>
      </c>
      <c r="D224" s="21" t="s">
        <v>1182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731</v>
      </c>
      <c r="C225" s="21" t="s">
        <v>456</v>
      </c>
      <c r="D225" s="21" t="s">
        <v>1041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732</v>
      </c>
      <c r="C226" s="21" t="s">
        <v>456</v>
      </c>
      <c r="D226" s="21" t="s">
        <v>1017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733</v>
      </c>
      <c r="C227" s="21" t="s">
        <v>457</v>
      </c>
      <c r="D227" s="21" t="s">
        <v>1050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734</v>
      </c>
      <c r="C228" s="21" t="s">
        <v>457</v>
      </c>
      <c r="D228" s="21" t="s">
        <v>1063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735</v>
      </c>
      <c r="C229" s="21" t="s">
        <v>457</v>
      </c>
      <c r="D229" s="21" t="s">
        <v>1040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736</v>
      </c>
      <c r="C230" s="21" t="s">
        <v>457</v>
      </c>
      <c r="D230" s="21" t="s">
        <v>1019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737</v>
      </c>
      <c r="C231" s="21" t="s">
        <v>457</v>
      </c>
      <c r="D231" s="21" t="s">
        <v>1041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738</v>
      </c>
      <c r="C232" s="21" t="s">
        <v>457</v>
      </c>
      <c r="D232" s="21" t="s">
        <v>1017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739</v>
      </c>
      <c r="C233" s="21" t="s">
        <v>458</v>
      </c>
      <c r="D233" s="21" t="s">
        <v>1173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740</v>
      </c>
      <c r="C234" s="21" t="s">
        <v>458</v>
      </c>
      <c r="D234" s="21" t="s">
        <v>1066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741</v>
      </c>
      <c r="C235" s="21" t="s">
        <v>458</v>
      </c>
      <c r="D235" s="21" t="s">
        <v>1059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742</v>
      </c>
      <c r="C236" s="21" t="s">
        <v>458</v>
      </c>
      <c r="D236" s="21" t="s">
        <v>1041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743</v>
      </c>
      <c r="C237" s="21" t="s">
        <v>458</v>
      </c>
      <c r="D237" s="21" t="s">
        <v>1064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744</v>
      </c>
      <c r="C238" s="21" t="s">
        <v>458</v>
      </c>
      <c r="D238" s="21" t="s">
        <v>1034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745</v>
      </c>
      <c r="C239" s="21" t="s">
        <v>459</v>
      </c>
      <c r="D239" s="21" t="s">
        <v>1040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746</v>
      </c>
      <c r="C240" s="21" t="s">
        <v>459</v>
      </c>
      <c r="D240" s="21" t="s">
        <v>1040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747</v>
      </c>
      <c r="C241" s="21" t="s">
        <v>459</v>
      </c>
      <c r="D241" s="21" t="s">
        <v>1017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748</v>
      </c>
      <c r="C242" s="21" t="s">
        <v>459</v>
      </c>
      <c r="D242" s="21" t="s">
        <v>1053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749</v>
      </c>
      <c r="C243" s="21" t="s">
        <v>459</v>
      </c>
      <c r="D243" s="21" t="s">
        <v>1038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750</v>
      </c>
      <c r="C244" s="21" t="s">
        <v>459</v>
      </c>
      <c r="D244" s="21" t="s">
        <v>1041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751</v>
      </c>
      <c r="C245" s="21" t="s">
        <v>460</v>
      </c>
      <c r="D245" s="21" t="s">
        <v>1030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752</v>
      </c>
      <c r="C246" s="21" t="s">
        <v>460</v>
      </c>
      <c r="D246" s="21" t="s">
        <v>1040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753</v>
      </c>
      <c r="C247" s="21" t="s">
        <v>460</v>
      </c>
      <c r="D247" s="21" t="s">
        <v>1017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754</v>
      </c>
      <c r="C248" s="21" t="s">
        <v>460</v>
      </c>
      <c r="D248" s="21" t="s">
        <v>1174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755</v>
      </c>
      <c r="C249" s="21" t="s">
        <v>460</v>
      </c>
      <c r="D249" s="21" t="s">
        <v>1041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756</v>
      </c>
      <c r="C250" s="21" t="s">
        <v>460</v>
      </c>
      <c r="D250" s="21" t="s">
        <v>1041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757</v>
      </c>
      <c r="C251" s="21" t="s">
        <v>461</v>
      </c>
      <c r="D251" s="21" t="s">
        <v>1054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758</v>
      </c>
      <c r="C252" s="21" t="s">
        <v>461</v>
      </c>
      <c r="D252" s="21" t="s">
        <v>1064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759</v>
      </c>
      <c r="C253" s="21" t="s">
        <v>461</v>
      </c>
      <c r="D253" s="21" t="s">
        <v>1029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760</v>
      </c>
      <c r="C254" s="21" t="s">
        <v>461</v>
      </c>
      <c r="D254" s="21" t="s">
        <v>1175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761</v>
      </c>
      <c r="C255" s="21" t="s">
        <v>461</v>
      </c>
      <c r="D255" s="21" t="s">
        <v>1022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762</v>
      </c>
      <c r="C256" s="21" t="s">
        <v>461</v>
      </c>
      <c r="D256" s="21" t="s">
        <v>1041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763</v>
      </c>
      <c r="C257" s="21" t="s">
        <v>462</v>
      </c>
      <c r="D257" s="21" t="s">
        <v>1016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764</v>
      </c>
      <c r="C258" s="21" t="s">
        <v>462</v>
      </c>
      <c r="D258" s="21" t="s">
        <v>1016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765</v>
      </c>
      <c r="C259" s="21" t="s">
        <v>462</v>
      </c>
      <c r="D259" s="21" t="s">
        <v>1025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766</v>
      </c>
      <c r="C260" s="21" t="s">
        <v>462</v>
      </c>
      <c r="D260" s="21" t="s">
        <v>1025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767</v>
      </c>
      <c r="C261" s="21" t="s">
        <v>462</v>
      </c>
      <c r="D261" s="21" t="s">
        <v>1032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768</v>
      </c>
      <c r="C262" s="21" t="s">
        <v>462</v>
      </c>
      <c r="D262" s="21" t="s">
        <v>1017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769</v>
      </c>
      <c r="C263" s="21" t="s">
        <v>463</v>
      </c>
      <c r="D263" s="21" t="s">
        <v>1016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770</v>
      </c>
      <c r="C264" s="21" t="s">
        <v>463</v>
      </c>
      <c r="D264" s="21" t="s">
        <v>1024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771</v>
      </c>
      <c r="C265" s="21" t="s">
        <v>463</v>
      </c>
      <c r="D265" s="21" t="s">
        <v>1025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772</v>
      </c>
      <c r="C266" s="21" t="s">
        <v>463</v>
      </c>
      <c r="D266" s="21" t="s">
        <v>1047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773</v>
      </c>
      <c r="C267" s="21" t="s">
        <v>463</v>
      </c>
      <c r="D267" s="21" t="s">
        <v>1033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774</v>
      </c>
      <c r="C268" s="21" t="s">
        <v>463</v>
      </c>
      <c r="D268" s="21" t="s">
        <v>1017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775</v>
      </c>
      <c r="C269" s="21" t="s">
        <v>464</v>
      </c>
      <c r="D269" s="21" t="s">
        <v>1049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776</v>
      </c>
      <c r="C270" s="21" t="s">
        <v>464</v>
      </c>
      <c r="D270" s="21" t="s">
        <v>1047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777</v>
      </c>
      <c r="C271" s="21" t="s">
        <v>464</v>
      </c>
      <c r="D271" s="21" t="s">
        <v>1031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778</v>
      </c>
      <c r="C272" s="21" t="s">
        <v>464</v>
      </c>
      <c r="D272" s="21" t="s">
        <v>1048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779</v>
      </c>
      <c r="C273" s="21" t="s">
        <v>464</v>
      </c>
      <c r="D273" s="21" t="s">
        <v>1034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780</v>
      </c>
      <c r="C274" s="21" t="s">
        <v>464</v>
      </c>
      <c r="D274" s="21" t="s">
        <v>1051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781</v>
      </c>
      <c r="C275" s="21" t="s">
        <v>465</v>
      </c>
      <c r="D275" s="21" t="s">
        <v>1016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782</v>
      </c>
      <c r="C276" s="21" t="s">
        <v>465</v>
      </c>
      <c r="D276" s="21" t="s">
        <v>1016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783</v>
      </c>
      <c r="C277" s="21" t="s">
        <v>465</v>
      </c>
      <c r="D277" s="21" t="s">
        <v>1016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784</v>
      </c>
      <c r="C278" s="21" t="s">
        <v>465</v>
      </c>
      <c r="D278" s="21" t="s">
        <v>1068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785</v>
      </c>
      <c r="C279" s="21" t="s">
        <v>465</v>
      </c>
      <c r="D279" s="21" t="s">
        <v>1068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786</v>
      </c>
      <c r="C280" s="21" t="s">
        <v>465</v>
      </c>
      <c r="D280" s="21" t="s">
        <v>1181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787</v>
      </c>
      <c r="C281" s="21" t="s">
        <v>466</v>
      </c>
      <c r="D281" s="21" t="s">
        <v>1069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788</v>
      </c>
      <c r="C282" s="21" t="s">
        <v>466</v>
      </c>
      <c r="D282" s="21" t="s">
        <v>1171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789</v>
      </c>
      <c r="C283" s="21" t="s">
        <v>466</v>
      </c>
      <c r="D283" s="21" t="s">
        <v>1181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790</v>
      </c>
      <c r="C284" s="21" t="s">
        <v>466</v>
      </c>
      <c r="D284" s="21" t="s">
        <v>1016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791</v>
      </c>
      <c r="C285" s="21" t="s">
        <v>466</v>
      </c>
      <c r="D285" s="21" t="s">
        <v>1017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792</v>
      </c>
      <c r="C286" s="21" t="s">
        <v>466</v>
      </c>
      <c r="D286" s="21" t="s">
        <v>1071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793</v>
      </c>
      <c r="C287" s="21" t="s">
        <v>467</v>
      </c>
      <c r="D287" s="21" t="s">
        <v>1069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794</v>
      </c>
      <c r="C288" s="21" t="s">
        <v>467</v>
      </c>
      <c r="D288" s="21" t="s">
        <v>1068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795</v>
      </c>
      <c r="C289" s="21" t="s">
        <v>467</v>
      </c>
      <c r="D289" s="21" t="s">
        <v>1072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796</v>
      </c>
      <c r="C290" s="21" t="s">
        <v>467</v>
      </c>
      <c r="D290" s="21" t="s">
        <v>1181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797</v>
      </c>
      <c r="C291" s="21" t="s">
        <v>467</v>
      </c>
      <c r="D291" s="21" t="s">
        <v>1022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798</v>
      </c>
      <c r="C292" s="21" t="s">
        <v>467</v>
      </c>
      <c r="D292" s="21" t="s">
        <v>1019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799</v>
      </c>
      <c r="C293" s="21" t="s">
        <v>468</v>
      </c>
      <c r="D293" s="21" t="s">
        <v>1016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800</v>
      </c>
      <c r="C294" s="21" t="s">
        <v>468</v>
      </c>
      <c r="D294" s="21" t="s">
        <v>1016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801</v>
      </c>
      <c r="C295" s="21" t="s">
        <v>468</v>
      </c>
      <c r="D295" s="21" t="s">
        <v>1073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802</v>
      </c>
      <c r="C296" s="21" t="s">
        <v>468</v>
      </c>
      <c r="D296" s="21" t="s">
        <v>1042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803</v>
      </c>
      <c r="C297" s="21" t="s">
        <v>468</v>
      </c>
      <c r="D297" s="21" t="s">
        <v>1017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804</v>
      </c>
      <c r="C298" s="21" t="s">
        <v>468</v>
      </c>
      <c r="D298" s="21" t="s">
        <v>1073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805</v>
      </c>
      <c r="C299" s="21" t="s">
        <v>469</v>
      </c>
      <c r="D299" s="21" t="s">
        <v>1074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806</v>
      </c>
      <c r="C300" s="21" t="s">
        <v>469</v>
      </c>
      <c r="D300" s="21" t="s">
        <v>1074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807</v>
      </c>
      <c r="C301" s="21" t="s">
        <v>469</v>
      </c>
      <c r="D301" s="21" t="s">
        <v>1044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808</v>
      </c>
      <c r="C302" s="21" t="s">
        <v>469</v>
      </c>
      <c r="D302" s="21" t="s">
        <v>1022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809</v>
      </c>
      <c r="C303" s="21" t="s">
        <v>469</v>
      </c>
      <c r="D303" s="21" t="s">
        <v>1042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810</v>
      </c>
      <c r="C304" s="21" t="s">
        <v>469</v>
      </c>
      <c r="D304" s="21" t="s">
        <v>1070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811</v>
      </c>
      <c r="C305" s="21" t="s">
        <v>470</v>
      </c>
      <c r="D305" s="21" t="s">
        <v>1016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812</v>
      </c>
      <c r="C306" s="21" t="s">
        <v>470</v>
      </c>
      <c r="D306" s="21" t="s">
        <v>1071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813</v>
      </c>
      <c r="C307" s="21" t="s">
        <v>470</v>
      </c>
      <c r="D307" s="21" t="s">
        <v>1018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814</v>
      </c>
      <c r="C308" s="21" t="s">
        <v>470</v>
      </c>
      <c r="D308" s="21" t="s">
        <v>1071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815</v>
      </c>
      <c r="C309" s="21" t="s">
        <v>470</v>
      </c>
      <c r="D309" s="21" t="s">
        <v>1169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816</v>
      </c>
      <c r="C310" s="21" t="s">
        <v>470</v>
      </c>
      <c r="D310" s="21" t="s">
        <v>1016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817</v>
      </c>
      <c r="C311" s="21" t="s">
        <v>471</v>
      </c>
      <c r="D311" s="21" t="s">
        <v>1071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818</v>
      </c>
      <c r="C312" s="21" t="s">
        <v>471</v>
      </c>
      <c r="D312" s="21" t="s">
        <v>1169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819</v>
      </c>
      <c r="C313" s="21" t="s">
        <v>471</v>
      </c>
      <c r="D313" s="21" t="s">
        <v>1075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820</v>
      </c>
      <c r="C314" s="21" t="s">
        <v>471</v>
      </c>
      <c r="D314" s="21" t="s">
        <v>1021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821</v>
      </c>
      <c r="C315" s="21" t="s">
        <v>471</v>
      </c>
      <c r="D315" s="21" t="s">
        <v>1017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822</v>
      </c>
      <c r="C316" s="21" t="s">
        <v>471</v>
      </c>
      <c r="D316" s="21" t="s">
        <v>1016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823</v>
      </c>
      <c r="C317" s="21" t="s">
        <v>472</v>
      </c>
      <c r="D317" s="21" t="s">
        <v>1076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824</v>
      </c>
      <c r="C318" s="21" t="s">
        <v>472</v>
      </c>
      <c r="D318" s="21" t="s">
        <v>1171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825</v>
      </c>
      <c r="C319" s="21" t="s">
        <v>472</v>
      </c>
      <c r="D319" s="21" t="s">
        <v>1016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826</v>
      </c>
      <c r="C320" s="21" t="s">
        <v>472</v>
      </c>
      <c r="D320" s="21" t="s">
        <v>1020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827</v>
      </c>
      <c r="C321" s="21" t="s">
        <v>472</v>
      </c>
      <c r="D321" s="21" t="s">
        <v>1020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828</v>
      </c>
      <c r="C322" s="21" t="s">
        <v>472</v>
      </c>
      <c r="D322" s="21" t="s">
        <v>1017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829</v>
      </c>
      <c r="C323" s="21" t="s">
        <v>473</v>
      </c>
      <c r="D323" s="21" t="s">
        <v>1026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830</v>
      </c>
      <c r="C324" s="21" t="s">
        <v>473</v>
      </c>
      <c r="D324" s="21" t="s">
        <v>1076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831</v>
      </c>
      <c r="C325" s="21" t="s">
        <v>473</v>
      </c>
      <c r="D325" s="21" t="s">
        <v>1052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832</v>
      </c>
      <c r="C326" s="21" t="s">
        <v>473</v>
      </c>
      <c r="D326" s="21" t="s">
        <v>1050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833</v>
      </c>
      <c r="C327" s="21" t="s">
        <v>473</v>
      </c>
      <c r="D327" s="21" t="s">
        <v>1019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834</v>
      </c>
      <c r="C328" s="21" t="s">
        <v>473</v>
      </c>
      <c r="D328" s="21" t="s">
        <v>1019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835</v>
      </c>
      <c r="C329" s="21" t="s">
        <v>474</v>
      </c>
      <c r="D329" s="21" t="s">
        <v>1026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836</v>
      </c>
      <c r="C330" s="21" t="s">
        <v>474</v>
      </c>
      <c r="D330" s="21" t="s">
        <v>1076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837</v>
      </c>
      <c r="C331" s="21" t="s">
        <v>474</v>
      </c>
      <c r="D331" s="21" t="s">
        <v>1077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838</v>
      </c>
      <c r="C332" s="21" t="s">
        <v>474</v>
      </c>
      <c r="D332" s="21" t="s">
        <v>1029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839</v>
      </c>
      <c r="C333" s="21" t="s">
        <v>474</v>
      </c>
      <c r="D333" s="21" t="s">
        <v>1036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840</v>
      </c>
      <c r="C334" s="21" t="s">
        <v>474</v>
      </c>
      <c r="D334" s="21" t="s">
        <v>1060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841</v>
      </c>
      <c r="C335" s="21" t="s">
        <v>475</v>
      </c>
      <c r="D335" s="21" t="s">
        <v>1076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842</v>
      </c>
      <c r="C336" s="21" t="s">
        <v>475</v>
      </c>
      <c r="D336" s="21" t="s">
        <v>1178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843</v>
      </c>
      <c r="C337" s="21" t="s">
        <v>475</v>
      </c>
      <c r="D337" s="21" t="s">
        <v>1027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844</v>
      </c>
      <c r="C338" s="21" t="s">
        <v>475</v>
      </c>
      <c r="D338" s="21" t="s">
        <v>1071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845</v>
      </c>
      <c r="C339" s="21" t="s">
        <v>475</v>
      </c>
      <c r="D339" s="21" t="s">
        <v>1027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846</v>
      </c>
      <c r="C340" s="21" t="s">
        <v>475</v>
      </c>
      <c r="D340" s="21" t="s">
        <v>1017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847</v>
      </c>
      <c r="C341" s="21" t="s">
        <v>476</v>
      </c>
      <c r="D341" s="21" t="s">
        <v>1030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848</v>
      </c>
      <c r="C342" s="21" t="s">
        <v>476</v>
      </c>
      <c r="D342" s="21" t="s">
        <v>1030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849</v>
      </c>
      <c r="C343" s="21" t="s">
        <v>476</v>
      </c>
      <c r="D343" s="21" t="s">
        <v>1024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850</v>
      </c>
      <c r="C344" s="21" t="s">
        <v>476</v>
      </c>
      <c r="D344" s="21" t="s">
        <v>1077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851</v>
      </c>
      <c r="C345" s="21" t="s">
        <v>476</v>
      </c>
      <c r="D345" s="21" t="s">
        <v>1179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852</v>
      </c>
      <c r="C346" s="21" t="s">
        <v>476</v>
      </c>
      <c r="D346" s="21" t="s">
        <v>1016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853</v>
      </c>
      <c r="C347" s="21" t="s">
        <v>477</v>
      </c>
      <c r="D347" s="21" t="s">
        <v>1040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854</v>
      </c>
      <c r="C348" s="21" t="s">
        <v>477</v>
      </c>
      <c r="D348" s="21" t="s">
        <v>1017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855</v>
      </c>
      <c r="C349" s="21" t="s">
        <v>477</v>
      </c>
      <c r="D349" s="21" t="s">
        <v>1070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856</v>
      </c>
      <c r="C350" s="21" t="s">
        <v>477</v>
      </c>
      <c r="D350" s="21" t="s">
        <v>1078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857</v>
      </c>
      <c r="C351" s="21" t="s">
        <v>477</v>
      </c>
      <c r="D351" s="21" t="s">
        <v>1169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858</v>
      </c>
      <c r="C352" s="21" t="s">
        <v>477</v>
      </c>
      <c r="D352" s="21" t="s">
        <v>1018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859</v>
      </c>
      <c r="C353" s="21" t="s">
        <v>478</v>
      </c>
      <c r="D353" s="21" t="s">
        <v>1029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860</v>
      </c>
      <c r="C354" s="21" t="s">
        <v>478</v>
      </c>
      <c r="D354" s="21" t="s">
        <v>1021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861</v>
      </c>
      <c r="C355" s="21" t="s">
        <v>478</v>
      </c>
      <c r="D355" s="21" t="s">
        <v>1171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862</v>
      </c>
      <c r="C356" s="21" t="s">
        <v>478</v>
      </c>
      <c r="D356" s="21" t="s">
        <v>1017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863</v>
      </c>
      <c r="C357" s="21" t="s">
        <v>478</v>
      </c>
      <c r="D357" s="21" t="s">
        <v>1078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864</v>
      </c>
      <c r="C358" s="21" t="s">
        <v>478</v>
      </c>
      <c r="D358" s="21" t="s">
        <v>1068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865</v>
      </c>
      <c r="C359" s="21" t="s">
        <v>479</v>
      </c>
      <c r="D359" s="21" t="s">
        <v>1023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866</v>
      </c>
      <c r="C360" s="21" t="s">
        <v>479</v>
      </c>
      <c r="D360" s="21" t="s">
        <v>1079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867</v>
      </c>
      <c r="C361" s="21" t="s">
        <v>479</v>
      </c>
      <c r="D361" s="21" t="s">
        <v>1071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868</v>
      </c>
      <c r="C362" s="21" t="s">
        <v>479</v>
      </c>
      <c r="D362" s="21" t="s">
        <v>1040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869</v>
      </c>
      <c r="C363" s="21" t="s">
        <v>479</v>
      </c>
      <c r="D363" s="21" t="s">
        <v>1057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870</v>
      </c>
      <c r="C364" s="21" t="s">
        <v>479</v>
      </c>
      <c r="D364" s="21" t="s">
        <v>1079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871</v>
      </c>
      <c r="C365" s="21" t="s">
        <v>480</v>
      </c>
      <c r="D365" s="21" t="s">
        <v>1040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872</v>
      </c>
      <c r="C366" s="21" t="s">
        <v>480</v>
      </c>
      <c r="D366" s="21" t="s">
        <v>1040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873</v>
      </c>
      <c r="C367" s="21" t="s">
        <v>480</v>
      </c>
      <c r="D367" s="21" t="s">
        <v>1027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874</v>
      </c>
      <c r="C368" s="21" t="s">
        <v>480</v>
      </c>
      <c r="D368" s="21" t="s">
        <v>1027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875</v>
      </c>
      <c r="C369" s="21" t="s">
        <v>480</v>
      </c>
      <c r="D369" s="21" t="s">
        <v>1017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876</v>
      </c>
      <c r="C370" s="21" t="s">
        <v>480</v>
      </c>
      <c r="D370" s="21" t="s">
        <v>1071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877</v>
      </c>
      <c r="C371" s="21" t="s">
        <v>481</v>
      </c>
      <c r="D371" s="21" t="s">
        <v>1071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878</v>
      </c>
      <c r="C372" s="21" t="s">
        <v>481</v>
      </c>
      <c r="D372" s="21" t="s">
        <v>1030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879</v>
      </c>
      <c r="C373" s="21" t="s">
        <v>481</v>
      </c>
      <c r="D373" s="21" t="s">
        <v>1030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880</v>
      </c>
      <c r="C374" s="21" t="s">
        <v>481</v>
      </c>
      <c r="D374" s="21" t="s">
        <v>1017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881</v>
      </c>
      <c r="C375" s="21" t="s">
        <v>481</v>
      </c>
      <c r="D375" s="21" t="s">
        <v>1040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882</v>
      </c>
      <c r="C376" s="21" t="s">
        <v>481</v>
      </c>
      <c r="D376" s="21" t="s">
        <v>1068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883</v>
      </c>
      <c r="C377" s="21" t="s">
        <v>482</v>
      </c>
      <c r="D377" s="21" t="s">
        <v>1042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884</v>
      </c>
      <c r="C378" s="21" t="s">
        <v>482</v>
      </c>
      <c r="D378" s="21" t="s">
        <v>1044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885</v>
      </c>
      <c r="C379" s="21" t="s">
        <v>482</v>
      </c>
      <c r="D379" s="21" t="s">
        <v>1041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886</v>
      </c>
      <c r="C380" s="21" t="s">
        <v>482</v>
      </c>
      <c r="D380" s="21" t="s">
        <v>1078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887</v>
      </c>
      <c r="C381" s="21" t="s">
        <v>482</v>
      </c>
      <c r="D381" s="21" t="s">
        <v>1022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888</v>
      </c>
      <c r="C382" s="21" t="s">
        <v>482</v>
      </c>
      <c r="D382" s="21" t="s">
        <v>1078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889</v>
      </c>
      <c r="C383" s="21" t="s">
        <v>483</v>
      </c>
      <c r="D383" s="21" t="s">
        <v>1044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890</v>
      </c>
      <c r="C384" s="21" t="s">
        <v>483</v>
      </c>
      <c r="D384" s="21" t="s">
        <v>1054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891</v>
      </c>
      <c r="C385" s="21" t="s">
        <v>483</v>
      </c>
      <c r="D385" s="21" t="s">
        <v>1075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892</v>
      </c>
      <c r="C386" s="21" t="s">
        <v>483</v>
      </c>
      <c r="D386" s="21" t="s">
        <v>1029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893</v>
      </c>
      <c r="C387" s="21" t="s">
        <v>483</v>
      </c>
      <c r="D387" s="21" t="s">
        <v>1017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894</v>
      </c>
      <c r="C388" s="21" t="s">
        <v>483</v>
      </c>
      <c r="D388" s="21" t="s">
        <v>1022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895</v>
      </c>
      <c r="C389" s="21" t="s">
        <v>484</v>
      </c>
      <c r="D389" s="21" t="s">
        <v>1016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896</v>
      </c>
      <c r="C390" s="21" t="s">
        <v>484</v>
      </c>
      <c r="D390" s="21" t="s">
        <v>1016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897</v>
      </c>
      <c r="C391" s="21" t="s">
        <v>484</v>
      </c>
      <c r="D391" s="21" t="s">
        <v>1032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898</v>
      </c>
      <c r="C392" s="21" t="s">
        <v>484</v>
      </c>
      <c r="D392" s="21" t="s">
        <v>1032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899</v>
      </c>
      <c r="C393" s="21" t="s">
        <v>484</v>
      </c>
      <c r="D393" s="21" t="s">
        <v>1076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900</v>
      </c>
      <c r="C394" s="21" t="s">
        <v>484</v>
      </c>
      <c r="D394" s="21" t="s">
        <v>1073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901</v>
      </c>
      <c r="C395" s="21" t="s">
        <v>484</v>
      </c>
      <c r="D395" s="21" t="s">
        <v>1017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902</v>
      </c>
      <c r="C396" s="21" t="s">
        <v>485</v>
      </c>
      <c r="D396" s="21" t="s">
        <v>1033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903</v>
      </c>
      <c r="C397" s="21" t="s">
        <v>485</v>
      </c>
      <c r="D397" s="21" t="s">
        <v>1035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904</v>
      </c>
      <c r="C398" s="21" t="s">
        <v>485</v>
      </c>
      <c r="D398" s="21" t="s">
        <v>1052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905</v>
      </c>
      <c r="C399" s="21" t="s">
        <v>485</v>
      </c>
      <c r="D399" s="21" t="s">
        <v>1036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906</v>
      </c>
      <c r="C400" s="21" t="s">
        <v>485</v>
      </c>
      <c r="D400" s="21" t="s">
        <v>1017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907</v>
      </c>
      <c r="C401" s="21" t="s">
        <v>485</v>
      </c>
      <c r="D401" s="21" t="s">
        <v>1077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908</v>
      </c>
      <c r="C402" s="21" t="s">
        <v>486</v>
      </c>
      <c r="D402" s="21" t="s">
        <v>1068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909</v>
      </c>
      <c r="C403" s="21" t="s">
        <v>486</v>
      </c>
      <c r="D403" s="21" t="s">
        <v>1069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910</v>
      </c>
      <c r="C404" s="21" t="s">
        <v>486</v>
      </c>
      <c r="D404" s="21" t="s">
        <v>1039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911</v>
      </c>
      <c r="C405" s="21" t="s">
        <v>486</v>
      </c>
      <c r="D405" s="21" t="s">
        <v>1045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912</v>
      </c>
      <c r="C406" s="21" t="s">
        <v>486</v>
      </c>
      <c r="D406" s="21" t="s">
        <v>1017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913</v>
      </c>
      <c r="C407" s="21" t="s">
        <v>486</v>
      </c>
      <c r="D407" s="21" t="s">
        <v>1071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914</v>
      </c>
      <c r="C408" s="21" t="s">
        <v>487</v>
      </c>
      <c r="D408" s="21" t="s">
        <v>1039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915</v>
      </c>
      <c r="C409" s="21" t="s">
        <v>487</v>
      </c>
      <c r="D409" s="21" t="s">
        <v>1045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916</v>
      </c>
      <c r="C410" s="21" t="s">
        <v>487</v>
      </c>
      <c r="D410" s="21" t="s">
        <v>1046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917</v>
      </c>
      <c r="C411" s="21" t="s">
        <v>487</v>
      </c>
      <c r="D411" s="21" t="s">
        <v>1071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918</v>
      </c>
      <c r="C412" s="21" t="s">
        <v>487</v>
      </c>
      <c r="D412" s="21" t="s">
        <v>1075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919</v>
      </c>
      <c r="C413" s="21" t="s">
        <v>487</v>
      </c>
      <c r="D413" s="21" t="s">
        <v>1069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920</v>
      </c>
      <c r="C414" s="21" t="s">
        <v>488</v>
      </c>
      <c r="D414" s="21" t="s">
        <v>1040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921</v>
      </c>
      <c r="C415" s="21" t="s">
        <v>488</v>
      </c>
      <c r="D415" s="21" t="s">
        <v>1071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922</v>
      </c>
      <c r="C416" s="21" t="s">
        <v>488</v>
      </c>
      <c r="D416" s="21" t="s">
        <v>1171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923</v>
      </c>
      <c r="C417" s="21" t="s">
        <v>488</v>
      </c>
      <c r="D417" s="21" t="s">
        <v>1071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924</v>
      </c>
      <c r="C418" s="21" t="s">
        <v>488</v>
      </c>
      <c r="D418" s="21" t="s">
        <v>1017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925</v>
      </c>
      <c r="C419" s="21" t="s">
        <v>488</v>
      </c>
      <c r="D419" s="21" t="s">
        <v>1172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926</v>
      </c>
      <c r="C420" s="21" t="s">
        <v>489</v>
      </c>
      <c r="D420" s="21" t="s">
        <v>1071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927</v>
      </c>
      <c r="C421" s="21" t="s">
        <v>489</v>
      </c>
      <c r="D421" s="21" t="s">
        <v>1171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928</v>
      </c>
      <c r="C422" s="21" t="s">
        <v>489</v>
      </c>
      <c r="D422" s="21" t="s">
        <v>1075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929</v>
      </c>
      <c r="C423" s="21" t="s">
        <v>489</v>
      </c>
      <c r="D423" s="21" t="s">
        <v>1064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930</v>
      </c>
      <c r="C424" s="21" t="s">
        <v>489</v>
      </c>
      <c r="D424" s="21" t="s">
        <v>1021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931</v>
      </c>
      <c r="C425" s="21" t="s">
        <v>489</v>
      </c>
      <c r="D425" s="21" t="s">
        <v>1017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932</v>
      </c>
      <c r="C426" s="21" t="s">
        <v>490</v>
      </c>
      <c r="D426" s="21" t="s">
        <v>1018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933</v>
      </c>
      <c r="C427" s="21" t="s">
        <v>490</v>
      </c>
      <c r="D427" s="21" t="s">
        <v>1018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934</v>
      </c>
      <c r="C428" s="21" t="s">
        <v>490</v>
      </c>
      <c r="D428" s="21" t="s">
        <v>1071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935</v>
      </c>
      <c r="C429" s="21" t="s">
        <v>490</v>
      </c>
      <c r="D429" s="21" t="s">
        <v>1027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936</v>
      </c>
      <c r="C430" s="21" t="s">
        <v>490</v>
      </c>
      <c r="D430" s="21" t="s">
        <v>1017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937</v>
      </c>
      <c r="C431" s="21" t="s">
        <v>490</v>
      </c>
      <c r="D431" s="21" t="s">
        <v>1017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938</v>
      </c>
      <c r="C432" s="21" t="s">
        <v>491</v>
      </c>
      <c r="D432" s="21" t="s">
        <v>1071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939</v>
      </c>
      <c r="C433" s="21" t="s">
        <v>491</v>
      </c>
      <c r="D433" s="21" t="s">
        <v>1075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940</v>
      </c>
      <c r="C434" s="21" t="s">
        <v>491</v>
      </c>
      <c r="D434" s="21" t="s">
        <v>1078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941</v>
      </c>
      <c r="C435" s="21" t="s">
        <v>491</v>
      </c>
      <c r="D435" s="21" t="s">
        <v>1044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942</v>
      </c>
      <c r="C436" s="21" t="s">
        <v>491</v>
      </c>
      <c r="D436" s="21" t="s">
        <v>1022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943</v>
      </c>
      <c r="C437" s="21" t="s">
        <v>491</v>
      </c>
      <c r="D437" s="21" t="s">
        <v>1044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944</v>
      </c>
      <c r="C438" s="21" t="s">
        <v>492</v>
      </c>
      <c r="D438" s="21" t="s">
        <v>1032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945</v>
      </c>
      <c r="C439" s="21" t="s">
        <v>492</v>
      </c>
      <c r="D439" s="21" t="s">
        <v>1032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946</v>
      </c>
      <c r="C440" s="21" t="s">
        <v>492</v>
      </c>
      <c r="D440" s="21" t="s">
        <v>1032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947</v>
      </c>
      <c r="C441" s="21" t="s">
        <v>492</v>
      </c>
      <c r="D441" s="21" t="s">
        <v>1038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948</v>
      </c>
      <c r="C442" s="21" t="s">
        <v>492</v>
      </c>
      <c r="D442" s="21" t="s">
        <v>1017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949</v>
      </c>
      <c r="C443" s="21" t="s">
        <v>492</v>
      </c>
      <c r="D443" s="21" t="s">
        <v>1071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950</v>
      </c>
      <c r="C444" s="21" t="s">
        <v>493</v>
      </c>
      <c r="D444" s="21" t="s">
        <v>1033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951</v>
      </c>
      <c r="C445" s="21" t="s">
        <v>493</v>
      </c>
      <c r="D445" s="21" t="s">
        <v>1032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952</v>
      </c>
      <c r="C446" s="21" t="s">
        <v>493</v>
      </c>
      <c r="D446" s="21" t="s">
        <v>1035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953</v>
      </c>
      <c r="C447" s="21" t="s">
        <v>493</v>
      </c>
      <c r="D447" s="21" t="s">
        <v>1034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954</v>
      </c>
      <c r="C448" s="21" t="s">
        <v>493</v>
      </c>
      <c r="D448" s="21" t="s">
        <v>1071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955</v>
      </c>
      <c r="C449" s="21" t="s">
        <v>493</v>
      </c>
      <c r="D449" s="21" t="s">
        <v>1019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956</v>
      </c>
      <c r="C450" s="21" t="s">
        <v>494</v>
      </c>
      <c r="D450" s="21" t="s">
        <v>1016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957</v>
      </c>
      <c r="C451" s="21" t="s">
        <v>494</v>
      </c>
      <c r="D451" s="21" t="s">
        <v>1043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958</v>
      </c>
      <c r="C452" s="21" t="s">
        <v>494</v>
      </c>
      <c r="D452" s="21" t="s">
        <v>1018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959</v>
      </c>
      <c r="C453" s="21" t="s">
        <v>494</v>
      </c>
      <c r="D453" s="21" t="s">
        <v>1061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960</v>
      </c>
      <c r="C454" s="21" t="s">
        <v>494</v>
      </c>
      <c r="D454" s="21" t="s">
        <v>1076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961</v>
      </c>
      <c r="C455" s="21" t="s">
        <v>494</v>
      </c>
      <c r="D455" s="21" t="s">
        <v>1076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962</v>
      </c>
      <c r="C456" s="21" t="s">
        <v>495</v>
      </c>
      <c r="D456" s="21" t="s">
        <v>1023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963</v>
      </c>
      <c r="C457" s="21" t="s">
        <v>495</v>
      </c>
      <c r="D457" s="21" t="s">
        <v>1078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964</v>
      </c>
      <c r="C458" s="21" t="s">
        <v>495</v>
      </c>
      <c r="D458" s="21" t="s">
        <v>1077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965</v>
      </c>
      <c r="C459" s="21" t="s">
        <v>495</v>
      </c>
      <c r="D459" s="21" t="s">
        <v>1060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966</v>
      </c>
      <c r="C460" s="21" t="s">
        <v>495</v>
      </c>
      <c r="D460" s="21" t="s">
        <v>1022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967</v>
      </c>
      <c r="C461" s="21" t="s">
        <v>495</v>
      </c>
      <c r="D461" s="21" t="s">
        <v>1049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968</v>
      </c>
      <c r="C462" s="21" t="s">
        <v>496</v>
      </c>
      <c r="D462" s="21" t="s">
        <v>1041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969</v>
      </c>
      <c r="C463" s="21" t="s">
        <v>496</v>
      </c>
      <c r="D463" s="21" t="s">
        <v>1181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970</v>
      </c>
      <c r="C464" s="21" t="s">
        <v>496</v>
      </c>
      <c r="D464" s="21" t="s">
        <v>1032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971</v>
      </c>
      <c r="C465" s="21" t="s">
        <v>496</v>
      </c>
      <c r="D465" s="21" t="s">
        <v>1052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972</v>
      </c>
      <c r="C466" s="21" t="s">
        <v>496</v>
      </c>
      <c r="D466" s="21" t="s">
        <v>1033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973</v>
      </c>
      <c r="C467" s="21" t="s">
        <v>496</v>
      </c>
      <c r="D467" s="21" t="s">
        <v>1017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974</v>
      </c>
      <c r="C468" s="21" t="s">
        <v>497</v>
      </c>
      <c r="D468" s="21" t="s">
        <v>1033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975</v>
      </c>
      <c r="C469" s="21" t="s">
        <v>497</v>
      </c>
      <c r="D469" s="21" t="s">
        <v>1035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976</v>
      </c>
      <c r="C470" s="21" t="s">
        <v>497</v>
      </c>
      <c r="D470" s="21" t="s">
        <v>1036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977</v>
      </c>
      <c r="C471" s="21" t="s">
        <v>497</v>
      </c>
      <c r="D471" s="21" t="s">
        <v>1071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978</v>
      </c>
      <c r="C472" s="21" t="s">
        <v>497</v>
      </c>
      <c r="D472" s="21" t="s">
        <v>1181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979</v>
      </c>
      <c r="C473" s="21" t="s">
        <v>497</v>
      </c>
      <c r="D473" s="21" t="s">
        <v>1039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980</v>
      </c>
      <c r="C474" s="21" t="s">
        <v>498</v>
      </c>
      <c r="D474" s="21" t="s">
        <v>1035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981</v>
      </c>
      <c r="C475" s="21" t="s">
        <v>498</v>
      </c>
      <c r="D475" s="21" t="s">
        <v>1056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982</v>
      </c>
      <c r="C476" s="21" t="s">
        <v>498</v>
      </c>
      <c r="D476" s="21" t="s">
        <v>1050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983</v>
      </c>
      <c r="C477" s="21" t="s">
        <v>498</v>
      </c>
      <c r="D477" s="21" t="s">
        <v>1037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984</v>
      </c>
      <c r="C478" s="21" t="s">
        <v>498</v>
      </c>
      <c r="D478" s="21" t="s">
        <v>1059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985</v>
      </c>
      <c r="C479" s="21" t="s">
        <v>498</v>
      </c>
      <c r="D479" s="21" t="s">
        <v>1181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986</v>
      </c>
      <c r="C480" s="21" t="s">
        <v>499</v>
      </c>
      <c r="D480" s="21" t="s">
        <v>1062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987</v>
      </c>
      <c r="C481" s="21" t="s">
        <v>499</v>
      </c>
      <c r="D481" s="21" t="s">
        <v>1040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988</v>
      </c>
      <c r="C482" s="21" t="s">
        <v>499</v>
      </c>
      <c r="D482" s="21" t="s">
        <v>1071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989</v>
      </c>
      <c r="C483" s="21" t="s">
        <v>499</v>
      </c>
      <c r="D483" s="21" t="s">
        <v>1043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990</v>
      </c>
      <c r="C484" s="21" t="s">
        <v>499</v>
      </c>
      <c r="D484" s="21" t="s">
        <v>1052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991</v>
      </c>
      <c r="C485" s="21" t="s">
        <v>499</v>
      </c>
      <c r="D485" s="21" t="s">
        <v>1017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992</v>
      </c>
      <c r="C486" s="21" t="s">
        <v>500</v>
      </c>
      <c r="D486" s="21" t="s">
        <v>1063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993</v>
      </c>
      <c r="C487" s="21" t="s">
        <v>500</v>
      </c>
      <c r="D487" s="21" t="s">
        <v>1075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994</v>
      </c>
      <c r="C488" s="21" t="s">
        <v>500</v>
      </c>
      <c r="D488" s="21" t="s">
        <v>1040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995</v>
      </c>
      <c r="C489" s="21" t="s">
        <v>500</v>
      </c>
      <c r="D489" s="21" t="s">
        <v>1050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996</v>
      </c>
      <c r="C490" s="21" t="s">
        <v>500</v>
      </c>
      <c r="D490" s="21" t="s">
        <v>1053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997</v>
      </c>
      <c r="C491" s="21" t="s">
        <v>500</v>
      </c>
      <c r="D491" s="21" t="s">
        <v>1017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998</v>
      </c>
      <c r="C492" s="21" t="s">
        <v>501</v>
      </c>
      <c r="D492" s="21" t="s">
        <v>1058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999</v>
      </c>
      <c r="C493" s="21" t="s">
        <v>501</v>
      </c>
      <c r="D493" s="21" t="s">
        <v>1035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1000</v>
      </c>
      <c r="C494" s="21" t="s">
        <v>501</v>
      </c>
      <c r="D494" s="21" t="s">
        <v>1067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1001</v>
      </c>
      <c r="C495" s="21" t="s">
        <v>501</v>
      </c>
      <c r="D495" s="21" t="s">
        <v>1034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1002</v>
      </c>
      <c r="C496" s="21" t="s">
        <v>501</v>
      </c>
      <c r="D496" s="21" t="s">
        <v>1071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1003</v>
      </c>
      <c r="C497" s="21" t="s">
        <v>501</v>
      </c>
      <c r="D497" s="21" t="s">
        <v>1029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1004</v>
      </c>
      <c r="C498" s="21" t="s">
        <v>502</v>
      </c>
      <c r="D498" s="21" t="s">
        <v>1044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1005</v>
      </c>
      <c r="C499" s="21" t="s">
        <v>502</v>
      </c>
      <c r="D499" s="21" t="s">
        <v>1054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1006</v>
      </c>
      <c r="C500" s="21" t="s">
        <v>502</v>
      </c>
      <c r="D500" s="21" t="s">
        <v>1075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1007</v>
      </c>
      <c r="C501" s="21" t="s">
        <v>502</v>
      </c>
      <c r="D501" s="21" t="s">
        <v>1017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1008</v>
      </c>
      <c r="C502" s="21" t="s">
        <v>502</v>
      </c>
      <c r="D502" s="21" t="s">
        <v>1017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1009</v>
      </c>
      <c r="C503" s="21" t="s">
        <v>502</v>
      </c>
      <c r="D503" s="21" t="s">
        <v>1178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1010</v>
      </c>
      <c r="C504" s="21" t="s">
        <v>503</v>
      </c>
      <c r="D504" s="21" t="s">
        <v>1054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1011</v>
      </c>
      <c r="C505" s="21" t="s">
        <v>503</v>
      </c>
      <c r="D505" s="21" t="s">
        <v>1054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1012</v>
      </c>
      <c r="C506" s="21" t="s">
        <v>503</v>
      </c>
      <c r="D506" s="21" t="s">
        <v>1059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1013</v>
      </c>
      <c r="C507" s="21" t="s">
        <v>503</v>
      </c>
      <c r="D507" s="21" t="s">
        <v>1017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1014</v>
      </c>
      <c r="C508" s="21" t="s">
        <v>503</v>
      </c>
      <c r="D508" s="21" t="s">
        <v>1017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1015</v>
      </c>
      <c r="C509" s="21" t="s">
        <v>503</v>
      </c>
      <c r="D509" s="21" t="s">
        <v>1179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1099</v>
      </c>
      <c r="F4" s="1" t="s">
        <v>1112</v>
      </c>
    </row>
    <row r="5" spans="1:8">
      <c r="A5" s="1" t="s">
        <v>1104</v>
      </c>
      <c r="B5" s="1" t="s">
        <v>1100</v>
      </c>
      <c r="G5" s="1" t="s">
        <v>1104</v>
      </c>
      <c r="H5" s="1" t="s">
        <v>1113</v>
      </c>
    </row>
    <row r="6" spans="1:8">
      <c r="A6" s="1" t="s">
        <v>1105</v>
      </c>
      <c r="B6" s="1" t="s">
        <v>1108</v>
      </c>
      <c r="G6" s="1" t="s">
        <v>1105</v>
      </c>
      <c r="H6" s="1" t="s">
        <v>1114</v>
      </c>
    </row>
    <row r="7" spans="1:8">
      <c r="A7" s="1" t="s">
        <v>1106</v>
      </c>
      <c r="B7" s="1" t="s">
        <v>1101</v>
      </c>
      <c r="G7" s="1" t="s">
        <v>1106</v>
      </c>
      <c r="H7" s="1" t="s">
        <v>1115</v>
      </c>
    </row>
    <row r="8" spans="1:8">
      <c r="A8" s="1" t="s">
        <v>1107</v>
      </c>
      <c r="B8" s="1" t="s">
        <v>1102</v>
      </c>
      <c r="G8" s="1" t="s">
        <v>1107</v>
      </c>
      <c r="H8" s="1" t="s">
        <v>1116</v>
      </c>
    </row>
    <row r="9" spans="1:8">
      <c r="A9" s="1" t="s">
        <v>1109</v>
      </c>
      <c r="B9" s="1" t="s">
        <v>1103</v>
      </c>
      <c r="G9" s="1" t="s">
        <v>1109</v>
      </c>
      <c r="H9" s="1" t="s">
        <v>1117</v>
      </c>
    </row>
    <row r="12" spans="1:8">
      <c r="B12" s="1" t="s">
        <v>1110</v>
      </c>
    </row>
    <row r="13" spans="1:8">
      <c r="B13" s="1" t="s">
        <v>1111</v>
      </c>
    </row>
  </sheetData>
  <phoneticPr fontId="2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1237</v>
      </c>
    </row>
    <row r="3" spans="1:15">
      <c r="B3" s="59" t="s">
        <v>1183</v>
      </c>
      <c r="C3" s="59" t="s">
        <v>1197</v>
      </c>
      <c r="D3" s="59" t="s">
        <v>1236</v>
      </c>
      <c r="E3" s="59" t="s">
        <v>1290</v>
      </c>
      <c r="F3" s="59" t="s">
        <v>1397</v>
      </c>
      <c r="H3" s="1" t="s">
        <v>1304</v>
      </c>
      <c r="O3" s="1" t="s">
        <v>1550</v>
      </c>
    </row>
    <row r="4" spans="1:15" ht="18">
      <c r="A4" s="1" t="s">
        <v>1289</v>
      </c>
      <c r="B4" s="60" t="s">
        <v>1288</v>
      </c>
      <c r="C4" s="61" t="s">
        <v>1549</v>
      </c>
      <c r="D4" s="60" t="s">
        <v>1238</v>
      </c>
      <c r="E4" s="60" t="s">
        <v>1429</v>
      </c>
      <c r="F4" s="60" t="s">
        <v>1300</v>
      </c>
      <c r="G4" s="1" t="s">
        <v>7</v>
      </c>
      <c r="H4" s="1" t="s">
        <v>1305</v>
      </c>
      <c r="O4" s="62" t="s">
        <v>1552</v>
      </c>
    </row>
    <row r="5" spans="1:15" ht="13.2">
      <c r="B5" s="58" t="s">
        <v>1184</v>
      </c>
      <c r="C5" s="1" t="s">
        <v>1201</v>
      </c>
      <c r="D5" s="1" t="s">
        <v>1239</v>
      </c>
      <c r="E5" s="1" t="s">
        <v>1291</v>
      </c>
      <c r="F5" s="1" t="s">
        <v>1301</v>
      </c>
    </row>
    <row r="6" spans="1:15" ht="13.2">
      <c r="B6" s="58" t="s">
        <v>1185</v>
      </c>
      <c r="C6" s="1" t="s">
        <v>1202</v>
      </c>
      <c r="D6" s="1" t="s">
        <v>1240</v>
      </c>
      <c r="E6" s="1" t="s">
        <v>1292</v>
      </c>
      <c r="F6" s="1" t="s">
        <v>1184</v>
      </c>
      <c r="H6" s="1" t="s">
        <v>1431</v>
      </c>
      <c r="J6" s="1" t="s">
        <v>1379</v>
      </c>
    </row>
    <row r="7" spans="1:15" ht="13.2">
      <c r="B7" s="58" t="s">
        <v>1198</v>
      </c>
      <c r="C7" s="1" t="s">
        <v>1203</v>
      </c>
      <c r="D7" s="1" t="s">
        <v>1241</v>
      </c>
      <c r="E7" s="1" t="s">
        <v>1293</v>
      </c>
      <c r="F7" s="1" t="s">
        <v>1185</v>
      </c>
      <c r="H7" s="1" t="s">
        <v>1306</v>
      </c>
      <c r="J7" s="1" t="s">
        <v>1387</v>
      </c>
      <c r="K7" s="1" t="s">
        <v>1389</v>
      </c>
      <c r="O7" s="1" t="s">
        <v>1568</v>
      </c>
    </row>
    <row r="8" spans="1:15" ht="13.2">
      <c r="B8" s="58" t="s">
        <v>1186</v>
      </c>
      <c r="C8" s="1" t="s">
        <v>1204</v>
      </c>
      <c r="D8" s="1" t="s">
        <v>1242</v>
      </c>
      <c r="E8" s="1" t="s">
        <v>1208</v>
      </c>
      <c r="F8" s="1" t="s">
        <v>1302</v>
      </c>
      <c r="H8" s="1" t="s">
        <v>1307</v>
      </c>
      <c r="J8" s="1" t="s">
        <v>1388</v>
      </c>
      <c r="K8" s="1" t="s">
        <v>1390</v>
      </c>
      <c r="O8" s="1" t="s">
        <v>1569</v>
      </c>
    </row>
    <row r="9" spans="1:15" ht="13.2">
      <c r="B9" s="58" t="s">
        <v>1187</v>
      </c>
      <c r="C9" s="1" t="s">
        <v>1205</v>
      </c>
      <c r="D9" s="1" t="s">
        <v>1243</v>
      </c>
      <c r="E9" s="1" t="s">
        <v>1209</v>
      </c>
      <c r="F9" s="1" t="s">
        <v>1212</v>
      </c>
      <c r="H9" s="1" t="s">
        <v>1308</v>
      </c>
      <c r="J9" s="1" t="s">
        <v>1206</v>
      </c>
      <c r="O9" s="1" t="s">
        <v>1570</v>
      </c>
    </row>
    <row r="10" spans="1:15" ht="13.2">
      <c r="B10" s="58" t="s">
        <v>1188</v>
      </c>
      <c r="C10" s="1" t="s">
        <v>1206</v>
      </c>
      <c r="D10" s="1" t="s">
        <v>1244</v>
      </c>
      <c r="E10" s="1" t="s">
        <v>1210</v>
      </c>
      <c r="F10" s="1" t="s">
        <v>1188</v>
      </c>
      <c r="H10" s="1" t="s">
        <v>1309</v>
      </c>
      <c r="J10" s="1" t="s">
        <v>1203</v>
      </c>
      <c r="K10" s="1" t="s">
        <v>1391</v>
      </c>
    </row>
    <row r="11" spans="1:15" ht="13.2">
      <c r="B11" s="58" t="s">
        <v>1189</v>
      </c>
      <c r="C11" s="1" t="s">
        <v>1207</v>
      </c>
      <c r="D11" s="1" t="s">
        <v>1195</v>
      </c>
      <c r="E11" s="1" t="s">
        <v>1294</v>
      </c>
      <c r="F11" s="1" t="s">
        <v>1217</v>
      </c>
      <c r="H11" s="1" t="s">
        <v>1310</v>
      </c>
      <c r="J11" s="1" t="s">
        <v>1194</v>
      </c>
      <c r="K11" s="1" t="s">
        <v>1392</v>
      </c>
    </row>
    <row r="12" spans="1:15" ht="13.2">
      <c r="B12" s="58" t="s">
        <v>1190</v>
      </c>
      <c r="C12" s="1" t="s">
        <v>1208</v>
      </c>
      <c r="D12" s="1" t="s">
        <v>1245</v>
      </c>
      <c r="E12" s="1" t="s">
        <v>1253</v>
      </c>
      <c r="F12" s="1" t="s">
        <v>1195</v>
      </c>
      <c r="H12" s="1" t="s">
        <v>1311</v>
      </c>
      <c r="J12" s="1" t="s">
        <v>1385</v>
      </c>
      <c r="K12" s="1" t="s">
        <v>1393</v>
      </c>
    </row>
    <row r="13" spans="1:15" ht="13.2">
      <c r="B13" s="58" t="s">
        <v>1191</v>
      </c>
      <c r="C13" s="1" t="s">
        <v>1209</v>
      </c>
      <c r="D13" s="1" t="s">
        <v>1246</v>
      </c>
      <c r="E13" s="1" t="s">
        <v>1263</v>
      </c>
      <c r="F13" s="1" t="s">
        <v>1194</v>
      </c>
      <c r="H13" s="1" t="s">
        <v>1312</v>
      </c>
      <c r="J13" s="1" t="s">
        <v>1196</v>
      </c>
    </row>
    <row r="14" spans="1:15" ht="13.2">
      <c r="B14" s="58" t="s">
        <v>1192</v>
      </c>
      <c r="C14" s="1" t="s">
        <v>1210</v>
      </c>
      <c r="D14" s="1" t="s">
        <v>1247</v>
      </c>
      <c r="E14" s="1" t="s">
        <v>1213</v>
      </c>
      <c r="F14" s="1" t="s">
        <v>1303</v>
      </c>
      <c r="H14" s="1" t="s">
        <v>1313</v>
      </c>
      <c r="J14" s="1" t="s">
        <v>1394</v>
      </c>
    </row>
    <row r="15" spans="1:15" ht="13.2">
      <c r="B15" s="58" t="s">
        <v>1193</v>
      </c>
      <c r="C15" s="1" t="s">
        <v>1211</v>
      </c>
      <c r="D15" s="1" t="s">
        <v>1248</v>
      </c>
      <c r="E15" s="1" t="s">
        <v>1214</v>
      </c>
      <c r="F15" s="1" t="s">
        <v>1291</v>
      </c>
      <c r="H15" s="1" t="s">
        <v>1314</v>
      </c>
      <c r="J15" s="1" t="s">
        <v>1380</v>
      </c>
    </row>
    <row r="16" spans="1:15" ht="13.2">
      <c r="B16" s="58" t="s">
        <v>1194</v>
      </c>
      <c r="C16" s="1" t="s">
        <v>1212</v>
      </c>
      <c r="D16" s="1" t="s">
        <v>1249</v>
      </c>
      <c r="E16" s="1" t="s">
        <v>1295</v>
      </c>
      <c r="H16" s="1" t="s">
        <v>1315</v>
      </c>
      <c r="J16" s="1" t="s">
        <v>1381</v>
      </c>
    </row>
    <row r="17" spans="2:10" ht="13.2">
      <c r="B17" s="58" t="s">
        <v>1195</v>
      </c>
      <c r="C17" s="1" t="s">
        <v>1213</v>
      </c>
      <c r="D17" s="1" t="s">
        <v>1202</v>
      </c>
      <c r="E17" s="1" t="s">
        <v>1296</v>
      </c>
      <c r="H17" s="1" t="s">
        <v>1316</v>
      </c>
      <c r="J17" s="1" t="s">
        <v>1216</v>
      </c>
    </row>
    <row r="18" spans="2:10" ht="13.2">
      <c r="B18" s="58" t="s">
        <v>1199</v>
      </c>
      <c r="C18" s="1" t="s">
        <v>1214</v>
      </c>
      <c r="D18" s="1" t="s">
        <v>1203</v>
      </c>
      <c r="E18" s="1" t="s">
        <v>1297</v>
      </c>
      <c r="H18" s="1" t="s">
        <v>1317</v>
      </c>
      <c r="J18" s="1" t="s">
        <v>1383</v>
      </c>
    </row>
    <row r="19" spans="2:10" ht="13.2">
      <c r="B19" s="58" t="s">
        <v>1196</v>
      </c>
      <c r="C19" s="1" t="s">
        <v>1215</v>
      </c>
      <c r="D19" s="1" t="s">
        <v>1250</v>
      </c>
      <c r="E19" s="1" t="s">
        <v>1194</v>
      </c>
      <c r="H19" s="1" t="s">
        <v>1318</v>
      </c>
      <c r="J19" s="1" t="s">
        <v>1253</v>
      </c>
    </row>
    <row r="20" spans="2:10" ht="13.2">
      <c r="B20" s="58" t="s">
        <v>1200</v>
      </c>
      <c r="C20" s="1" t="s">
        <v>1216</v>
      </c>
      <c r="D20" s="1" t="s">
        <v>1251</v>
      </c>
      <c r="E20" s="1" t="s">
        <v>1224</v>
      </c>
      <c r="H20" s="1" t="s">
        <v>1319</v>
      </c>
      <c r="J20" s="1" t="s">
        <v>1382</v>
      </c>
    </row>
    <row r="21" spans="2:10">
      <c r="C21" s="1" t="s">
        <v>1217</v>
      </c>
      <c r="D21" s="1" t="s">
        <v>1252</v>
      </c>
      <c r="E21" s="1" t="s">
        <v>1273</v>
      </c>
      <c r="H21" s="1" t="s">
        <v>1320</v>
      </c>
      <c r="J21" s="1" t="s">
        <v>1386</v>
      </c>
    </row>
    <row r="22" spans="2:10">
      <c r="C22" s="1" t="s">
        <v>1218</v>
      </c>
      <c r="D22" s="1" t="s">
        <v>1253</v>
      </c>
      <c r="E22" s="1" t="s">
        <v>1298</v>
      </c>
      <c r="H22" s="1" t="s">
        <v>1321</v>
      </c>
      <c r="J22" s="1" t="s">
        <v>1208</v>
      </c>
    </row>
    <row r="23" spans="2:10">
      <c r="C23" s="1" t="s">
        <v>1194</v>
      </c>
      <c r="D23" s="1" t="s">
        <v>1254</v>
      </c>
      <c r="E23" s="1" t="s">
        <v>1220</v>
      </c>
      <c r="H23" s="1" t="s">
        <v>1322</v>
      </c>
      <c r="J23" s="1" t="s">
        <v>1432</v>
      </c>
    </row>
    <row r="24" spans="2:10">
      <c r="C24" s="1" t="s">
        <v>1219</v>
      </c>
      <c r="D24" s="1" t="s">
        <v>1255</v>
      </c>
      <c r="H24" s="1" t="s">
        <v>1323</v>
      </c>
      <c r="J24" s="1" t="s">
        <v>1433</v>
      </c>
    </row>
    <row r="25" spans="2:10">
      <c r="C25" s="1" t="s">
        <v>1220</v>
      </c>
      <c r="D25" s="1" t="s">
        <v>1208</v>
      </c>
      <c r="H25" s="1" t="s">
        <v>1324</v>
      </c>
      <c r="J25" s="1" t="s">
        <v>1384</v>
      </c>
    </row>
    <row r="26" spans="2:10">
      <c r="C26" s="1" t="s">
        <v>1221</v>
      </c>
      <c r="D26" s="1" t="s">
        <v>1256</v>
      </c>
      <c r="H26" s="1" t="s">
        <v>1325</v>
      </c>
    </row>
    <row r="27" spans="2:10">
      <c r="C27" s="1" t="s">
        <v>1222</v>
      </c>
      <c r="D27" s="1" t="s">
        <v>1257</v>
      </c>
      <c r="H27" s="1" t="s">
        <v>1326</v>
      </c>
    </row>
    <row r="28" spans="2:10">
      <c r="C28" s="1" t="s">
        <v>1223</v>
      </c>
      <c r="D28" s="1" t="s">
        <v>1258</v>
      </c>
      <c r="H28" s="1" t="s">
        <v>1327</v>
      </c>
    </row>
    <row r="29" spans="2:10">
      <c r="C29" s="1" t="s">
        <v>1224</v>
      </c>
      <c r="D29" s="1" t="s">
        <v>1226</v>
      </c>
      <c r="H29" s="1" t="s">
        <v>1328</v>
      </c>
    </row>
    <row r="30" spans="2:10">
      <c r="C30" s="1" t="s">
        <v>1225</v>
      </c>
      <c r="D30" s="1" t="s">
        <v>1259</v>
      </c>
      <c r="H30" s="1" t="s">
        <v>1329</v>
      </c>
    </row>
    <row r="31" spans="2:10">
      <c r="C31" s="1" t="s">
        <v>1226</v>
      </c>
      <c r="D31" s="1" t="s">
        <v>1225</v>
      </c>
      <c r="H31" s="1" t="s">
        <v>1330</v>
      </c>
    </row>
    <row r="32" spans="2:10">
      <c r="C32" s="1" t="s">
        <v>1196</v>
      </c>
      <c r="D32" s="1" t="s">
        <v>1260</v>
      </c>
      <c r="H32" s="1" t="s">
        <v>1331</v>
      </c>
    </row>
    <row r="33" spans="3:8">
      <c r="C33" s="1" t="s">
        <v>1227</v>
      </c>
      <c r="D33" s="1" t="s">
        <v>1261</v>
      </c>
      <c r="H33" s="1" t="s">
        <v>1332</v>
      </c>
    </row>
    <row r="34" spans="3:8">
      <c r="C34" s="1" t="s">
        <v>1228</v>
      </c>
      <c r="D34" s="1" t="s">
        <v>1262</v>
      </c>
      <c r="H34" s="1" t="s">
        <v>1333</v>
      </c>
    </row>
    <row r="35" spans="3:8">
      <c r="C35" s="1" t="s">
        <v>1229</v>
      </c>
      <c r="D35" s="1" t="s">
        <v>1263</v>
      </c>
      <c r="H35" s="1" t="s">
        <v>1334</v>
      </c>
    </row>
    <row r="36" spans="3:8">
      <c r="C36" s="1" t="s">
        <v>1230</v>
      </c>
      <c r="D36" s="1" t="s">
        <v>1264</v>
      </c>
      <c r="H36" s="1" t="s">
        <v>1335</v>
      </c>
    </row>
    <row r="37" spans="3:8">
      <c r="C37" s="1" t="s">
        <v>1231</v>
      </c>
      <c r="D37" s="1" t="s">
        <v>1265</v>
      </c>
      <c r="H37" s="1" t="s">
        <v>1336</v>
      </c>
    </row>
    <row r="38" spans="3:8">
      <c r="C38" s="1" t="s">
        <v>1232</v>
      </c>
      <c r="D38" s="1" t="s">
        <v>1266</v>
      </c>
      <c r="H38" s="1" t="s">
        <v>1337</v>
      </c>
    </row>
    <row r="39" spans="3:8">
      <c r="C39" s="1" t="s">
        <v>1233</v>
      </c>
      <c r="D39" s="1" t="s">
        <v>1267</v>
      </c>
      <c r="H39" s="1" t="s">
        <v>1338</v>
      </c>
    </row>
    <row r="40" spans="3:8">
      <c r="C40" s="1" t="s">
        <v>1234</v>
      </c>
      <c r="D40" s="1" t="s">
        <v>1268</v>
      </c>
      <c r="H40" s="1" t="s">
        <v>1339</v>
      </c>
    </row>
    <row r="41" spans="3:8">
      <c r="C41" s="1" t="s">
        <v>1235</v>
      </c>
      <c r="D41" s="1" t="s">
        <v>1269</v>
      </c>
      <c r="H41" s="1" t="s">
        <v>1340</v>
      </c>
    </row>
    <row r="42" spans="3:8">
      <c r="D42" s="1" t="s">
        <v>1270</v>
      </c>
      <c r="H42" s="1" t="s">
        <v>1341</v>
      </c>
    </row>
    <row r="43" spans="3:8">
      <c r="D43" s="1" t="s">
        <v>1271</v>
      </c>
      <c r="H43" s="1" t="s">
        <v>1342</v>
      </c>
    </row>
    <row r="44" spans="3:8">
      <c r="D44" s="1" t="s">
        <v>1272</v>
      </c>
      <c r="H44" s="1" t="s">
        <v>1343</v>
      </c>
    </row>
    <row r="45" spans="3:8">
      <c r="D45" s="1" t="s">
        <v>1189</v>
      </c>
      <c r="H45" s="1" t="s">
        <v>1344</v>
      </c>
    </row>
    <row r="46" spans="3:8">
      <c r="D46" s="1" t="s">
        <v>1273</v>
      </c>
      <c r="H46" s="1" t="s">
        <v>1345</v>
      </c>
    </row>
    <row r="47" spans="3:8">
      <c r="D47" s="1" t="s">
        <v>1194</v>
      </c>
      <c r="H47" s="1" t="s">
        <v>1346</v>
      </c>
    </row>
    <row r="48" spans="3:8">
      <c r="D48" s="1" t="s">
        <v>1274</v>
      </c>
      <c r="H48" s="1" t="s">
        <v>1347</v>
      </c>
    </row>
    <row r="49" spans="4:8">
      <c r="D49" s="1" t="s">
        <v>1275</v>
      </c>
      <c r="H49" s="1" t="s">
        <v>1348</v>
      </c>
    </row>
    <row r="50" spans="4:8">
      <c r="D50" s="1" t="s">
        <v>1221</v>
      </c>
      <c r="H50" s="1" t="s">
        <v>1349</v>
      </c>
    </row>
    <row r="51" spans="4:8">
      <c r="D51" s="1" t="s">
        <v>1276</v>
      </c>
      <c r="H51" s="1" t="s">
        <v>1350</v>
      </c>
    </row>
    <row r="52" spans="4:8">
      <c r="D52" s="1" t="s">
        <v>1277</v>
      </c>
      <c r="H52" s="1" t="s">
        <v>1351</v>
      </c>
    </row>
    <row r="53" spans="4:8">
      <c r="D53" s="1" t="s">
        <v>1278</v>
      </c>
      <c r="H53" s="1" t="s">
        <v>1352</v>
      </c>
    </row>
    <row r="54" spans="4:8">
      <c r="D54" s="1" t="s">
        <v>1279</v>
      </c>
      <c r="H54" s="1" t="s">
        <v>1353</v>
      </c>
    </row>
    <row r="55" spans="4:8">
      <c r="D55" s="1" t="s">
        <v>1280</v>
      </c>
      <c r="H55" s="1" t="s">
        <v>1354</v>
      </c>
    </row>
    <row r="56" spans="4:8">
      <c r="D56" s="1" t="s">
        <v>1281</v>
      </c>
      <c r="H56" s="1" t="s">
        <v>1355</v>
      </c>
    </row>
    <row r="57" spans="4:8">
      <c r="D57" s="1" t="s">
        <v>1282</v>
      </c>
      <c r="H57" s="1" t="s">
        <v>1356</v>
      </c>
    </row>
    <row r="58" spans="4:8">
      <c r="D58" s="1" t="s">
        <v>1283</v>
      </c>
      <c r="H58" s="1" t="s">
        <v>1357</v>
      </c>
    </row>
    <row r="59" spans="4:8">
      <c r="D59" s="1" t="s">
        <v>1284</v>
      </c>
      <c r="H59" s="1" t="s">
        <v>1358</v>
      </c>
    </row>
    <row r="60" spans="4:8">
      <c r="D60" s="1" t="s">
        <v>1285</v>
      </c>
      <c r="H60" s="1" t="s">
        <v>1359</v>
      </c>
    </row>
    <row r="61" spans="4:8">
      <c r="D61" s="1" t="s">
        <v>1286</v>
      </c>
      <c r="H61" s="1" t="s">
        <v>1360</v>
      </c>
    </row>
    <row r="62" spans="4:8">
      <c r="D62" s="1" t="s">
        <v>1287</v>
      </c>
      <c r="H62" s="1" t="s">
        <v>1361</v>
      </c>
    </row>
    <row r="63" spans="4:8">
      <c r="H63" s="1" t="s">
        <v>1362</v>
      </c>
    </row>
    <row r="64" spans="4:8">
      <c r="H64" s="1" t="s">
        <v>1363</v>
      </c>
    </row>
    <row r="65" spans="8:8">
      <c r="H65" s="1" t="s">
        <v>1364</v>
      </c>
    </row>
    <row r="66" spans="8:8">
      <c r="H66" s="1" t="s">
        <v>1365</v>
      </c>
    </row>
    <row r="67" spans="8:8">
      <c r="H67" s="1" t="s">
        <v>1366</v>
      </c>
    </row>
    <row r="68" spans="8:8">
      <c r="H68" s="1" t="s">
        <v>1367</v>
      </c>
    </row>
    <row r="69" spans="8:8">
      <c r="H69" s="1" t="s">
        <v>1368</v>
      </c>
    </row>
    <row r="70" spans="8:8">
      <c r="H70" s="1" t="s">
        <v>1369</v>
      </c>
    </row>
    <row r="71" spans="8:8">
      <c r="H71" s="1" t="s">
        <v>1370</v>
      </c>
    </row>
    <row r="72" spans="8:8">
      <c r="H72" s="1" t="s">
        <v>1371</v>
      </c>
    </row>
    <row r="73" spans="8:8">
      <c r="H73" s="1" t="s">
        <v>1372</v>
      </c>
    </row>
    <row r="74" spans="8:8">
      <c r="H74" s="1" t="s">
        <v>1373</v>
      </c>
    </row>
    <row r="75" spans="8:8">
      <c r="H75" s="1" t="s">
        <v>1374</v>
      </c>
    </row>
    <row r="76" spans="8:8">
      <c r="H76" s="1" t="s">
        <v>1375</v>
      </c>
    </row>
    <row r="77" spans="8:8">
      <c r="H77" s="1" t="s">
        <v>1376</v>
      </c>
    </row>
    <row r="78" spans="8:8">
      <c r="H78" s="1" t="s">
        <v>1377</v>
      </c>
    </row>
    <row r="79" spans="8:8">
      <c r="H79" s="1" t="s">
        <v>1378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5"/>
  <sheetViews>
    <sheetView tabSelected="1" zoomScaleNormal="100" workbookViewId="0"/>
  </sheetViews>
  <sheetFormatPr defaultRowHeight="12.6"/>
  <cols>
    <col min="1" max="16384" width="8.796875" style="1"/>
  </cols>
  <sheetData>
    <row r="2" spans="2:16">
      <c r="B2" s="1" t="s">
        <v>1599</v>
      </c>
      <c r="F2" s="1" t="s">
        <v>1674</v>
      </c>
      <c r="I2" s="1" t="s">
        <v>1654</v>
      </c>
      <c r="M2" s="1" t="s">
        <v>1609</v>
      </c>
      <c r="P2" s="1" t="s">
        <v>1661</v>
      </c>
    </row>
    <row r="3" spans="2:16">
      <c r="B3" s="1" t="s">
        <v>1584</v>
      </c>
      <c r="F3" s="1" t="s">
        <v>1676</v>
      </c>
      <c r="I3" s="1" t="s">
        <v>1655</v>
      </c>
      <c r="M3" s="1" t="s">
        <v>1610</v>
      </c>
      <c r="P3" s="1" t="s">
        <v>1662</v>
      </c>
    </row>
    <row r="4" spans="2:16">
      <c r="F4" s="1" t="s">
        <v>1597</v>
      </c>
      <c r="I4" s="1" t="s">
        <v>1600</v>
      </c>
      <c r="M4" s="1" t="s">
        <v>1611</v>
      </c>
      <c r="P4" s="1" t="s">
        <v>1663</v>
      </c>
    </row>
    <row r="5" spans="2:16">
      <c r="B5" s="1" t="s">
        <v>1585</v>
      </c>
      <c r="F5" s="1" t="s">
        <v>1589</v>
      </c>
      <c r="I5" s="1" t="s">
        <v>1601</v>
      </c>
      <c r="M5" s="1" t="s">
        <v>1612</v>
      </c>
      <c r="P5" s="1" t="s">
        <v>1664</v>
      </c>
    </row>
    <row r="6" spans="2:16">
      <c r="F6" s="1" t="s">
        <v>1590</v>
      </c>
      <c r="I6" s="1" t="s">
        <v>1602</v>
      </c>
      <c r="M6" s="1" t="s">
        <v>1613</v>
      </c>
    </row>
    <row r="7" spans="2:16">
      <c r="B7" s="1" t="s">
        <v>1586</v>
      </c>
      <c r="F7" s="1" t="s">
        <v>1591</v>
      </c>
      <c r="M7" s="1" t="s">
        <v>1614</v>
      </c>
    </row>
    <row r="8" spans="2:16">
      <c r="F8" s="1" t="s">
        <v>1592</v>
      </c>
      <c r="I8" s="1" t="s">
        <v>1608</v>
      </c>
      <c r="M8" s="1" t="s">
        <v>1615</v>
      </c>
    </row>
    <row r="9" spans="2:16">
      <c r="B9" s="1" t="s">
        <v>1587</v>
      </c>
      <c r="F9" s="1" t="s">
        <v>1593</v>
      </c>
      <c r="I9" s="63"/>
      <c r="M9" s="1" t="s">
        <v>1617</v>
      </c>
    </row>
    <row r="10" spans="2:16">
      <c r="F10" s="1" t="s">
        <v>1594</v>
      </c>
      <c r="I10" s="63" t="s">
        <v>1603</v>
      </c>
      <c r="M10" s="1" t="s">
        <v>1616</v>
      </c>
    </row>
    <row r="11" spans="2:16">
      <c r="B11" s="1" t="s">
        <v>1588</v>
      </c>
      <c r="F11" s="1" t="s">
        <v>1595</v>
      </c>
      <c r="I11" s="63" t="s">
        <v>1604</v>
      </c>
    </row>
    <row r="12" spans="2:16">
      <c r="F12" s="1" t="s">
        <v>1596</v>
      </c>
      <c r="I12" s="63" t="s">
        <v>1605</v>
      </c>
      <c r="M12" s="1" t="s">
        <v>1610</v>
      </c>
    </row>
    <row r="13" spans="2:16">
      <c r="B13" s="1" t="s">
        <v>1598</v>
      </c>
      <c r="I13" s="63" t="s">
        <v>1606</v>
      </c>
      <c r="M13" s="1" t="s">
        <v>1677</v>
      </c>
    </row>
    <row r="14" spans="2:16">
      <c r="F14" s="1" t="s">
        <v>1642</v>
      </c>
      <c r="I14" s="63" t="s">
        <v>1607</v>
      </c>
      <c r="M14" s="1" t="s">
        <v>1618</v>
      </c>
    </row>
    <row r="15" spans="2:16">
      <c r="F15" s="1" t="s">
        <v>1620</v>
      </c>
      <c r="M15" s="1" t="s">
        <v>1619</v>
      </c>
    </row>
    <row r="16" spans="2:16">
      <c r="F16" s="1" t="s">
        <v>1297</v>
      </c>
      <c r="I16" s="63" t="s">
        <v>1628</v>
      </c>
      <c r="M16" s="1" t="s">
        <v>1678</v>
      </c>
    </row>
    <row r="17" spans="2:13">
      <c r="F17" s="1" t="s">
        <v>1291</v>
      </c>
      <c r="I17" s="63" t="s">
        <v>1629</v>
      </c>
      <c r="M17" s="1" t="s">
        <v>1679</v>
      </c>
    </row>
    <row r="18" spans="2:13">
      <c r="F18" s="1" t="s">
        <v>1621</v>
      </c>
      <c r="M18" s="1" t="s">
        <v>1616</v>
      </c>
    </row>
    <row r="19" spans="2:13">
      <c r="F19" s="1" t="s">
        <v>1622</v>
      </c>
    </row>
    <row r="20" spans="2:13">
      <c r="F20" s="1" t="s">
        <v>1623</v>
      </c>
    </row>
    <row r="21" spans="2:13">
      <c r="F21" s="1" t="s">
        <v>1624</v>
      </c>
    </row>
    <row r="22" spans="2:13">
      <c r="F22" s="1" t="s">
        <v>1627</v>
      </c>
    </row>
    <row r="23" spans="2:13">
      <c r="F23" s="1" t="s">
        <v>1675</v>
      </c>
    </row>
    <row r="24" spans="2:13">
      <c r="F24" s="1" t="s">
        <v>1625</v>
      </c>
    </row>
    <row r="25" spans="2:13">
      <c r="F25" s="1" t="s">
        <v>1626</v>
      </c>
    </row>
    <row r="28" spans="2:13">
      <c r="B28" s="63" t="s">
        <v>1630</v>
      </c>
    </row>
    <row r="29" spans="2:13">
      <c r="F29" s="63" t="s">
        <v>1610</v>
      </c>
      <c r="I29" s="63" t="s">
        <v>1656</v>
      </c>
    </row>
    <row r="30" spans="2:13">
      <c r="B30" s="1" t="s">
        <v>1631</v>
      </c>
      <c r="F30" s="63" t="s">
        <v>1635</v>
      </c>
      <c r="I30" s="63" t="s">
        <v>1657</v>
      </c>
    </row>
    <row r="31" spans="2:13">
      <c r="B31" s="63"/>
      <c r="F31" s="63" t="s">
        <v>1636</v>
      </c>
      <c r="I31" s="63" t="s">
        <v>1660</v>
      </c>
    </row>
    <row r="32" spans="2:13">
      <c r="B32" s="63" t="s">
        <v>1632</v>
      </c>
      <c r="F32" s="63" t="s">
        <v>1616</v>
      </c>
    </row>
    <row r="33" spans="2:9">
      <c r="B33" s="1" t="s">
        <v>1633</v>
      </c>
      <c r="F33" s="1" t="s">
        <v>1637</v>
      </c>
      <c r="I33" s="1" t="s">
        <v>1658</v>
      </c>
    </row>
    <row r="34" spans="2:9">
      <c r="B34" s="63" t="s">
        <v>1634</v>
      </c>
      <c r="F34" s="63" t="s">
        <v>1638</v>
      </c>
      <c r="I34" s="63" t="s">
        <v>1659</v>
      </c>
    </row>
    <row r="35" spans="2:9">
      <c r="F35" s="63" t="s">
        <v>1639</v>
      </c>
    </row>
    <row r="36" spans="2:9">
      <c r="F36" s="63" t="s">
        <v>1640</v>
      </c>
    </row>
    <row r="37" spans="2:9">
      <c r="F37" s="1" t="s">
        <v>1641</v>
      </c>
    </row>
    <row r="40" spans="2:9">
      <c r="B40" s="1" t="s">
        <v>1653</v>
      </c>
    </row>
    <row r="41" spans="2:9">
      <c r="B41" s="1" t="s">
        <v>1643</v>
      </c>
      <c r="G41" s="63" t="s">
        <v>1627</v>
      </c>
    </row>
    <row r="42" spans="2:9">
      <c r="B42" s="1" t="s">
        <v>1610</v>
      </c>
      <c r="G42" s="63" t="s">
        <v>1665</v>
      </c>
    </row>
    <row r="43" spans="2:9">
      <c r="B43" s="1" t="s">
        <v>1644</v>
      </c>
      <c r="G43" s="63" t="s">
        <v>1666</v>
      </c>
    </row>
    <row r="44" spans="2:9">
      <c r="B44" s="1" t="s">
        <v>1645</v>
      </c>
      <c r="G44" s="63" t="s">
        <v>1667</v>
      </c>
    </row>
    <row r="45" spans="2:9">
      <c r="B45" s="1" t="s">
        <v>1646</v>
      </c>
      <c r="G45" s="63" t="s">
        <v>1668</v>
      </c>
    </row>
    <row r="46" spans="2:9">
      <c r="B46" s="1" t="s">
        <v>1647</v>
      </c>
    </row>
    <row r="47" spans="2:9">
      <c r="G47" s="1" t="s">
        <v>1669</v>
      </c>
    </row>
    <row r="48" spans="2:9">
      <c r="B48" s="1" t="s">
        <v>1648</v>
      </c>
      <c r="G48" s="63"/>
    </row>
    <row r="49" spans="2:7">
      <c r="B49" s="1" t="s">
        <v>1649</v>
      </c>
      <c r="G49" s="63" t="s">
        <v>1670</v>
      </c>
    </row>
    <row r="50" spans="2:7">
      <c r="G50" s="63" t="s">
        <v>1671</v>
      </c>
    </row>
    <row r="51" spans="2:7">
      <c r="B51" s="1" t="s">
        <v>1650</v>
      </c>
      <c r="G51" s="63" t="s">
        <v>1672</v>
      </c>
    </row>
    <row r="53" spans="2:7">
      <c r="B53" s="1" t="s">
        <v>1651</v>
      </c>
      <c r="G53" s="1" t="s">
        <v>1673</v>
      </c>
    </row>
    <row r="54" spans="2:7">
      <c r="B54" s="1" t="s">
        <v>1652</v>
      </c>
    </row>
    <row r="55" spans="2:7">
      <c r="B55" s="1" t="s">
        <v>1616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guitarCrawler</vt:lpstr>
      <vt:lpstr>public API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2026-06-27T13:48:44Z</dcterms:modified>
</cp:coreProperties>
</file>