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C94DA16E-3818-483E-88DE-BE764AD4CF4B}" xr6:coauthVersionLast="47" xr6:coauthVersionMax="47" xr10:uidLastSave="{00000000-0000-0000-0000-000000000000}"/>
  <bookViews>
    <workbookView xWindow="-108" yWindow="-108" windowWidth="23256" windowHeight="12456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2" i="5" l="1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7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5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Q10" i="3" s="1"/>
  <c r="E25" i="5"/>
  <c r="E26" i="5" s="1"/>
  <c r="K26" i="5" s="1"/>
  <c r="E14" i="5"/>
  <c r="K14" i="5" s="1"/>
  <c r="E6" i="5"/>
  <c r="E7" i="5" s="1"/>
  <c r="K7" i="5" s="1"/>
  <c r="L8" i="4" l="1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K11" i="5"/>
  <c r="Q81" i="3"/>
  <c r="Q37" i="3"/>
  <c r="Q36" i="3"/>
  <c r="Q35" i="3"/>
  <c r="K53" i="5"/>
  <c r="L20" i="4"/>
  <c r="L19" i="4"/>
  <c r="E54" i="5"/>
  <c r="E19" i="5"/>
  <c r="K19" i="5" s="1"/>
  <c r="E41" i="5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<sst xmlns="http://schemas.openxmlformats.org/spreadsheetml/2006/main" count="3522" uniqueCount="1508">
  <si>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</si>
  <si>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</si>
  <si>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</si>
  <si>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</si>
  <si>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</si>
  <si>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</si>
  <si>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</si>
  <si>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</si>
  <si>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</si>
  <si>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</si>
  <si>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</si>
  <si>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</si>
  <si>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</si>
  <si>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</si>
  <si>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</si>
  <si>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</si>
  <si>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</si>
  <si>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</si>
  <si>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</si>
  <si>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</si>
  <si>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</si>
  <si>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</si>
  <si>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</si>
  <si>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</si>
  <si>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</si>
  <si>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</si>
  <si>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</si>
  <si>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</si>
  <si>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</si>
  <si>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</si>
  <si>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</si>
  <si>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</si>
  <si>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</si>
  <si>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</si>
  <si>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</si>
  <si>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</si>
  <si>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</si>
  <si>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</si>
  <si>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</si>
  <si>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</si>
  <si>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</si>
  <si>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</si>
  <si>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</si>
  <si>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</si>
  <si>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</si>
  <si>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</si>
  <si>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</si>
  <si>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</si>
  <si>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</si>
  <si>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</si>
  <si>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</si>
  <si>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</si>
  <si>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</si>
  <si>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</si>
  <si>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</si>
  <si>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</si>
  <si>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</si>
  <si>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</si>
  <si>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</si>
  <si>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</si>
  <si>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</si>
  <si>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</si>
  <si>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</si>
  <si>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</si>
  <si>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</si>
  <si>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</si>
  <si>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</si>
  <si>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</si>
  <si>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</si>
  <si>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</si>
  <si>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</si>
  <si>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</si>
  <si>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</si>
  <si>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</si>
  <si>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</si>
  <si>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</si>
  <si>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</si>
  <si>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</si>
  <si>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</si>
  <si>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</si>
  <si>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</si>
  <si>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</si>
  <si>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</si>
  <si>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</si>
  <si>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</si>
  <si>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</si>
  <si>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</si>
  <si>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</si>
  <si>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</si>
  <si>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</si>
  <si>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</si>
  <si>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</si>
  <si>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</si>
  <si>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</si>
  <si>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</si>
  <si>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</si>
  <si>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</si>
  <si>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</si>
  <si>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</si>
  <si>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</si>
  <si>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</si>
  <si>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</si>
  <si>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</si>
  <si>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</si>
  <si>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</si>
  <si>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</si>
  <si>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</si>
  <si>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</si>
  <si>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</si>
  <si>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</si>
  <si>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</si>
  <si>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</si>
  <si>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</si>
  <si>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</si>
  <si>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</si>
  <si>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</si>
  <si>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</si>
  <si>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</si>
  <si>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</si>
  <si>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</si>
  <si>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</si>
  <si>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</si>
  <si>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</si>
  <si>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</si>
  <si>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</si>
  <si>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</si>
  <si>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</si>
  <si>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</si>
  <si>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</si>
  <si>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</si>
  <si>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</si>
  <si>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</si>
  <si>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</si>
  <si>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</si>
  <si>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</si>
  <si>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</si>
  <si>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</si>
  <si>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</si>
  <si>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</si>
  <si>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</si>
  <si>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</si>
  <si>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</si>
  <si>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</si>
  <si>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</si>
  <si>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</si>
  <si>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</si>
  <si>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</si>
  <si>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</si>
  <si>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</si>
  <si>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</si>
  <si>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</si>
  <si>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</si>
  <si>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</si>
  <si>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</si>
  <si>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</si>
  <si>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</si>
  <si>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</si>
  <si>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</si>
  <si>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</si>
  <si>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</si>
  <si>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</si>
  <si>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</si>
  <si>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</si>
  <si>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</si>
  <si>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</si>
  <si>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</si>
  <si>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</si>
  <si>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</si>
  <si>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</si>
  <si>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</si>
  <si>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</si>
  <si>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</si>
  <si>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</si>
  <si>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</si>
  <si>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</si>
  <si>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</si>
  <si>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</si>
  <si>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</si>
  <si>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</si>
  <si>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</si>
  <si>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</si>
  <si>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</si>
  <si>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</si>
  <si>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</si>
  <si>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</si>
  <si>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</si>
  <si>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</si>
  <si>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</si>
  <si>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</si>
  <si>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</si>
  <si>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</si>
  <si>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</si>
  <si>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</si>
  <si>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</si>
  <si>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</si>
  <si>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</si>
  <si>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</si>
  <si>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</si>
  <si>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</si>
  <si>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</si>
  <si>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</si>
  <si>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</si>
  <si>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</si>
  <si>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</si>
  <si>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</si>
  <si>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</si>
  <si>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</si>
  <si>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</si>
  <si>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</si>
  <si>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</si>
  <si>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</si>
  <si>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</si>
  <si>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</si>
  <si>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</si>
  <si>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</si>
  <si>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</si>
  <si>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</si>
  <si>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</si>
  <si>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</si>
  <si>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</si>
  <si>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</si>
  <si>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</si>
  <si>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</si>
  <si>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</si>
  <si>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</si>
  <si>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</si>
  <si>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</si>
  <si>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</si>
  <si>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</si>
  <si>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</si>
  <si>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</si>
  <si>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</si>
  <si>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</si>
  <si>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</si>
  <si>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</si>
  <si>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</si>
  <si>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</si>
  <si>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</si>
  <si>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</si>
  <si>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</si>
  <si>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</si>
  <si>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</si>
  <si>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</si>
  <si>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</si>
  <si>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</si>
  <si>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</si>
  <si>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</si>
  <si>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</si>
  <si>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</si>
  <si>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</si>
  <si>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</si>
  <si>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</si>
  <si>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</si>
  <si>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</si>
  <si>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</si>
  <si>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</si>
  <si>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</si>
  <si>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</si>
  <si>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</si>
  <si>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</si>
  <si>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</si>
  <si>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</si>
  <si>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</si>
  <si>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</si>
  <si>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</si>
  <si>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</si>
  <si>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</si>
  <si>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</si>
  <si>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</si>
  <si>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</si>
  <si>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</si>
  <si>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</si>
  <si>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</si>
  <si>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</si>
  <si>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</si>
  <si>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</si>
  <si>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</si>
  <si>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</si>
  <si>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</si>
  <si>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</si>
  <si>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</si>
  <si>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</si>
  <si>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</si>
  <si>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</si>
  <si>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</si>
  <si>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</si>
  <si>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</si>
  <si>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</si>
  <si>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</si>
  <si>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</si>
  <si>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</si>
  <si>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</si>
  <si>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</si>
  <si>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</si>
  <si>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</si>
  <si>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</si>
  <si>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</si>
  <si>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</si>
  <si>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</si>
  <si>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</si>
  <si>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</si>
  <si>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</si>
  <si>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</si>
  <si>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</si>
  <si>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</si>
  <si>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</si>
  <si>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</si>
  <si>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</si>
  <si>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</si>
  <si>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</si>
  <si>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</si>
  <si>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</si>
  <si>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</si>
  <si>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</si>
  <si>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</si>
  <si>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</si>
  <si>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</si>
  <si>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</si>
  <si>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</si>
  <si>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</si>
  <si>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</si>
  <si>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</si>
  <si>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</si>
  <si>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</si>
  <si>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</si>
  <si>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</si>
  <si>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</si>
  <si>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</si>
  <si>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</si>
  <si>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</si>
  <si>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</si>
  <si>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</si>
  <si>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</si>
  <si>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</si>
  <si>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</si>
  <si>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</si>
  <si>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</si>
  <si>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</si>
  <si>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</si>
  <si>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</si>
  <si>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</si>
  <si>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</si>
  <si>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</si>
  <si>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</si>
  <si>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</si>
  <si>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</si>
  <si>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</si>
  <si>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</si>
  <si>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</si>
  <si>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</si>
  <si>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</si>
  <si>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</si>
  <si>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</si>
  <si>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</si>
  <si>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</si>
  <si>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</si>
  <si>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</si>
  <si>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</si>
  <si>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</si>
  <si>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</si>
  <si>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</si>
  <si>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</si>
  <si>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</si>
  <si>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</si>
  <si>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</si>
  <si>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</si>
  <si>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</si>
  <si>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</si>
  <si>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</si>
  <si>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</si>
  <si>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</si>
  <si>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</si>
  <si>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</si>
  <si>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</si>
  <si>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</si>
  <si>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</si>
  <si>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</si>
  <si>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</si>
  <si>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</si>
  <si>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</si>
  <si>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</si>
  <si>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</si>
  <si>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</si>
  <si>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</si>
  <si>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</si>
  <si>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</si>
  <si>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</si>
  <si>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</si>
  <si>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</si>
  <si>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</si>
  <si>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</si>
  <si>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</si>
  <si>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</si>
  <si>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</si>
  <si>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</si>
  <si>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</si>
  <si>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</si>
  <si>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</si>
  <si>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</si>
  <si>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</si>
  <si>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</si>
  <si>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</si>
  <si>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</si>
  <si>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</si>
  <si>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</si>
  <si>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</si>
  <si>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</si>
  <si>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</si>
  <si>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</si>
  <si>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</si>
  <si>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</si>
  <si>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</si>
  <si>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</si>
  <si>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</si>
  <si>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</si>
  <si>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</si>
  <si>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</si>
  <si>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</si>
  <si>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</si>
  <si>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</si>
  <si>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</si>
  <si>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</si>
  <si>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</si>
  <si>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</si>
  <si>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</si>
  <si>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</si>
  <si>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</si>
  <si>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</si>
  <si>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</si>
  <si>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</si>
  <si>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</si>
  <si>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</si>
  <si>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</si>
  <si>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</si>
  <si>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</si>
  <si>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</si>
  <si>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</si>
  <si>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</si>
  <si>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</si>
  <si>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</si>
  <si>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</si>
  <si>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</si>
  <si>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</si>
  <si>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</si>
  <si>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</si>
  <si>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</si>
  <si>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</si>
  <si>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</si>
  <si>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</si>
  <si>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</si>
  <si>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</si>
  <si>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</si>
  <si>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</si>
  <si>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</si>
  <si>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</si>
  <si>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</si>
  <si>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</si>
  <si>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</si>
  <si>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</si>
  <si>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</si>
  <si>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</si>
  <si>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</si>
  <si>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</si>
  <si>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</si>
  <si>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</si>
  <si>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</si>
  <si>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</si>
  <si>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</si>
  <si>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</si>
  <si>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</si>
  <si>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</si>
  <si>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</si>
  <si>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</si>
  <si>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</si>
  <si>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</si>
  <si>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</si>
  <si>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</si>
  <si>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</si>
  <si>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</si>
  <si>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</si>
  <si>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</si>
  <si>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</si>
  <si>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</si>
  <si>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</si>
  <si>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</si>
  <si>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</si>
  <si>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</si>
  <si>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</si>
  <si>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</si>
  <si>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</si>
  <si>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</si>
  <si>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</si>
  <si>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</si>
  <si>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</si>
  <si>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</si>
  <si>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</si>
  <si>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</si>
  <si>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</si>
  <si>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</si>
  <si>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</si>
  <si>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</si>
  <si>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</si>
  <si>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</si>
  <si>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</si>
  <si>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</si>
  <si>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</si>
  <si>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</si>
  <si>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</si>
  <si>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</si>
  <si>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</si>
  <si>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</si>
  <si>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</si>
  <si>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</si>
  <si>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</si>
  <si>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</si>
  <si>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</si>
  <si>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</si>
  <si>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</si>
  <si>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</si>
  <si>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</si>
  <si>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</si>
  <si>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</si>
  <si>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</si>
  <si>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</si>
  <si>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</si>
  <si>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</si>
  <si>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</si>
  <si>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</si>
  <si>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</si>
  <si>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</si>
  <si>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</si>
  <si>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</si>
  <si>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</si>
  <si>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</si>
  <si>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</si>
  <si>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</si>
  <si>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</si>
  <si>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</si>
  <si>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</si>
  <si>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</si>
  <si>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</si>
  <si>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</si>
  <si>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</si>
  <si>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</si>
  <si>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</si>
  <si>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</si>
  <si>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</si>
  <si>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</si>
  <si>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</si>
  <si>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</si>
  <si>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</si>
  <si>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</si>
  <si>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</si>
  <si>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</si>
  <si>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</si>
  <si>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</si>
  <si>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</si>
  <si>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</si>
  <si>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</si>
  <si>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</si>
  <si>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</si>
  <si>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</si>
  <si>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</si>
  <si>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</si>
  <si>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</si>
  <si>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</si>
  <si>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</si>
  <si>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</si>
  <si>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</si>
  <si>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</si>
  <si>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</si>
  <si>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</si>
  <si>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</si>
  <si>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</si>
  <si>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</si>
  <si>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</si>
  <si>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</si>
  <si>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</si>
  <si>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</si>
  <si>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</si>
  <si>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</si>
  <si>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</si>
  <si>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</si>
  <si>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</si>
  <si>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</si>
  <si>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</si>
  <si>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</si>
  <si>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</si>
  <si>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</si>
  <si>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</si>
  <si>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</si>
  <si>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</si>
  <si>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</si>
  <si>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</si>
  <si>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</si>
  <si>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</si>
  <si>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</si>
  <si>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</si>
  <si>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</si>
  <si>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</si>
  <si>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</si>
  <si>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</si>
  <si>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</si>
  <si>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</si>
  <si>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</si>
  <si>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</si>
  <si>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</si>
  <si>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</si>
  <si>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</si>
  <si>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</si>
  <si>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</si>
  <si>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</si>
  <si>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</si>
  <si>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</si>
  <si>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</si>
  <si>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</si>
  <si>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</si>
  <si>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</si>
  <si>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</si>
  <si>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</si>
  <si>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</si>
  <si>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</si>
  <si>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</si>
  <si>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</si>
  <si>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</si>
  <si>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</si>
  <si>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</si>
  <si>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</si>
  <si>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</si>
  <si>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</si>
  <si>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</si>
  <si>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</si>
  <si>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</si>
  <si>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</si>
  <si>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</si>
  <si>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</si>
  <si>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</si>
  <si>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</si>
  <si>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</si>
  <si>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</si>
  <si>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</si>
  <si>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</si>
  <si>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</si>
  <si>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</si>
  <si>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</si>
  <si>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</si>
  <si>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</si>
  <si>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</si>
  <si>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</si>
  <si>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</si>
  <si>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</si>
  <si>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</si>
  <si>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</si>
  <si>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</si>
  <si>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</si>
  <si>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</si>
  <si>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</si>
  <si>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</si>
  <si>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</si>
  <si>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</si>
  <si>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</si>
  <si>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</si>
  <si>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</si>
  <si>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</si>
  <si>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</si>
  <si>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</si>
  <si>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</si>
  <si>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</si>
  <si>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</si>
  <si>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</si>
  <si>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</si>
  <si>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</si>
  <si>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</si>
  <si>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</si>
  <si>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</si>
  <si>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</si>
  <si>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</si>
  <si>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</si>
  <si>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</si>
  <si>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</si>
  <si>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</si>
  <si>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</si>
  <si>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</si>
  <si>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</si>
  <si>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</si>
  <si>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</si>
  <si>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</si>
  <si>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</si>
  <si>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</si>
  <si>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</si>
  <si>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</si>
  <si>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</si>
  <si>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</si>
  <si>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</si>
  <si>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</si>
  <si>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</si>
  <si>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</si>
  <si>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</si>
  <si>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</si>
  <si>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</si>
  <si>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</si>
  <si>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</si>
  <si>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</si>
  <si>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</si>
  <si>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</si>
  <si>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</si>
  <si>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</si>
  <si>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</si>
  <si>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</si>
  <si>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</si>
  <si>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</si>
  <si>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</si>
  <si>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</si>
  <si>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</si>
  <si>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</si>
  <si>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</si>
  <si>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</si>
  <si>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</si>
  <si>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</si>
  <si>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</si>
  <si>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</si>
  <si>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</si>
  <si>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</si>
  <si>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</si>
  <si>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</si>
  <si>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</si>
  <si>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</si>
  <si>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</si>
  <si>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</si>
  <si>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</si>
  <si>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</si>
  <si>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</si>
  <si>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</si>
  <si>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</si>
  <si>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</si>
  <si>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</si>
  <si>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</si>
  <si>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</si>
  <si>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</si>
  <si>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</si>
  <si>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</si>
  <si>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</si>
  <si>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</si>
  <si>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</si>
  <si>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</si>
  <si>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</si>
  <si>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</si>
  <si>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</si>
  <si>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</si>
  <si>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</si>
  <si>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</si>
  <si>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</si>
  <si>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</si>
  <si>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</si>
  <si>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</si>
  <si>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</si>
  <si>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</si>
  <si>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</si>
  <si>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</si>
  <si>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</si>
  <si>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</si>
  <si>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</si>
  <si>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</si>
  <si>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</si>
  <si>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</si>
  <si>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</si>
  <si>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</si>
  <si>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</si>
  <si>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</si>
  <si>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</si>
  <si>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</si>
  <si>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</si>
  <si>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</si>
  <si>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</si>
  <si>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</si>
  <si>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</si>
  <si>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</si>
  <si>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</si>
  <si>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</si>
  <si>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</si>
  <si>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</si>
  <si>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</si>
  <si>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</si>
  <si>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</si>
  <si>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</si>
  <si>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</si>
  <si>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</si>
  <si>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</si>
  <si>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</si>
  <si>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</si>
  <si>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</si>
  <si>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</si>
  <si>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</si>
  <si>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</si>
  <si>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</si>
  <si>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</si>
  <si>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</si>
  <si>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</si>
  <si>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</si>
  <si>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</si>
  <si>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</si>
  <si>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</si>
  <si>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</si>
  <si>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</si>
  <si>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</si>
  <si>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</si>
  <si>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</si>
  <si>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</si>
  <si>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</si>
  <si>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</si>
  <si>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</si>
  <si>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</si>
  <si>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</si>
  <si>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</si>
  <si>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</si>
  <si>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</si>
  <si>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</si>
  <si>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</si>
  <si>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</si>
  <si>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</si>
  <si>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</si>
  <si>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</si>
  <si>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</si>
  <si>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</si>
  <si>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</si>
  <si>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</si>
  <si>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</si>
  <si>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</si>
  <si>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</si>
  <si>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</si>
  <si>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</si>
  <si>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</si>
  <si>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</si>
  <si>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</si>
  <si>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</si>
  <si>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</si>
  <si>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</si>
  <si>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</si>
  <si>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</si>
  <si>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</si>
  <si>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</si>
  <si>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</si>
  <si>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</si>
  <si>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</si>
  <si>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</si>
  <si>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</si>
  <si>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</si>
  <si>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</si>
  <si>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</si>
  <si>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</si>
  <si>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</si>
  <si>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</si>
  <si>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</si>
  <si>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</si>
  <si>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</si>
  <si>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</si>
  <si>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</si>
  <si>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</si>
  <si>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</si>
  <si>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</si>
  <si>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</si>
  <si>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</si>
  <si>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</si>
  <si>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</si>
  <si>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</si>
  <si>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</si>
  <si>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</si>
  <si>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</si>
  <si>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</si>
  <si>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</si>
  <si>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</si>
  <si>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</si>
  <si>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</si>
  <si>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</si>
  <si>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</si>
  <si>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</si>
  <si>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</si>
  <si>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</si>
  <si>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</si>
  <si>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</si>
  <si>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</si>
  <si>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</si>
  <si>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</si>
  <si>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</si>
  <si>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</si>
  <si>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</si>
  <si>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</si>
  <si>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</si>
  <si>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</si>
  <si>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</si>
  <si>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</si>
  <si>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</si>
  <si>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</si>
  <si>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</si>
  <si>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</si>
  <si>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</si>
  <si>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</si>
  <si>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</si>
  <si>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</si>
  <si>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</si>
  <si>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</si>
  <si>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</si>
  <si>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</si>
  <si>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</si>
  <si>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</si>
  <si>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</si>
  <si>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</si>
  <si>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</si>
  <si>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</si>
  <si>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</si>
  <si>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</si>
  <si>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</si>
  <si>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</si>
  <si>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</si>
  <si>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</si>
  <si>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</si>
  <si>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</si>
  <si>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</si>
  <si>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</si>
  <si>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</si>
  <si>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</si>
  <si>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</si>
  <si>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</si>
  <si>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</si>
  <si>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</si>
  <si>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</si>
  <si>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</si>
  <si>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</si>
  <si>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</si>
  <si>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</si>
  <si>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</si>
  <si>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</si>
  <si>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</si>
  <si>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</si>
  <si>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</si>
  <si>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</si>
  <si>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</si>
  <si>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</si>
  <si>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</si>
  <si>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</si>
  <si>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</si>
  <si>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</si>
  <si>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</si>
  <si>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</si>
  <si>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</si>
  <si>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</si>
  <si>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</si>
  <si>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</si>
  <si>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</si>
  <si>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</si>
  <si>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</si>
  <si>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</si>
  <si>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</si>
  <si>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</si>
  <si>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</si>
  <si>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</si>
  <si>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</si>
  <si>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</si>
  <si>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</si>
  <si>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</si>
  <si>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</si>
  <si>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</si>
  <si>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</si>
  <si>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</si>
  <si>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</si>
  <si>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</si>
  <si>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</si>
  <si>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</si>
  <si>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</si>
  <si>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</si>
  <si>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</si>
  <si>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</si>
  <si>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</si>
  <si>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</si>
  <si>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</si>
  <si>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</si>
  <si>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</si>
  <si>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</si>
  <si>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</si>
  <si>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</si>
  <si>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</si>
  <si>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</si>
  <si>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</si>
  <si>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</si>
  <si>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</si>
  <si>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</si>
  <si>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</si>
  <si>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</si>
  <si>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</si>
  <si>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</si>
  <si>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</si>
  <si>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</si>
  <si>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</si>
  <si>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</si>
  <si>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</si>
  <si>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</si>
  <si>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</si>
  <si>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</si>
  <si>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</si>
  <si>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</si>
  <si>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</si>
  <si>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</si>
  <si>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</si>
  <si>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</si>
  <si>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</si>
  <si>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</si>
  <si>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</si>
  <si>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</si>
  <si>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</si>
  <si>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</si>
  <si>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</si>
  <si>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</si>
  <si>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</si>
  <si>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</si>
  <si>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</si>
  <si>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</si>
  <si>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</si>
  <si>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</si>
  <si>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</si>
  <si>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</si>
  <si>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</si>
  <si>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</si>
  <si>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</si>
  <si>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</si>
  <si>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</si>
  <si>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</si>
  <si>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</si>
  <si>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</si>
  <si>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</si>
  <si>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</si>
  <si>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</si>
  <si>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</si>
  <si>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</si>
  <si>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</si>
  <si>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</si>
  <si>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</si>
  <si>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</si>
  <si>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</si>
  <si>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</si>
  <si>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</si>
  <si>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</si>
  <si>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</si>
  <si>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</si>
  <si>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</si>
  <si>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</si>
  <si>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</si>
  <si>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</si>
  <si>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</si>
  <si>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</si>
  <si>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</si>
  <si>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</si>
  <si>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</si>
  <si>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</si>
  <si>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</si>
  <si>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</si>
  <si>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</si>
  <si>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</si>
  <si>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</si>
  <si>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</si>
  <si>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</si>
  <si>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</si>
  <si>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</si>
  <si>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</si>
  <si>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</si>
  <si>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</si>
  <si>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</si>
  <si>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</si>
  <si>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</si>
  <si>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</si>
  <si>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</si>
  <si>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</si>
  <si>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</si>
  <si>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</si>
  <si>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</si>
  <si>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</si>
  <si>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</si>
  <si>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</si>
  <si>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</si>
  <si>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</si>
  <si>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</si>
  <si>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</si>
  <si>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</si>
  <si>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</si>
  <si>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</si>
  <si>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</si>
  <si>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</si>
  <si>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</si>
  <si>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</si>
  <si>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</si>
  <si>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</si>
  <si>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</si>
  <si>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</si>
  <si>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</si>
  <si>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</si>
  <si>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</si>
  <si>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</si>
  <si>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</si>
  <si>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</si>
  <si>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</si>
  <si>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</si>
  <si>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</si>
  <si>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</si>
  <si>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</si>
  <si>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</si>
  <si>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</si>
  <si>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</si>
  <si>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</si>
  <si>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</si>
  <si>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</si>
  <si>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</si>
  <si>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</si>
  <si>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</si>
  <si>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</si>
  <si>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</si>
  <si>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</si>
  <si>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</si>
  <si>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</si>
  <si>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</si>
  <si>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</si>
  <si>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</si>
  <si>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</si>
  <si>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</si>
  <si>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</si>
  <si>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</si>
  <si>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</si>
  <si>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</si>
  <si>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</si>
  <si>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</si>
  <si>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</si>
  <si>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</si>
  <si>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</si>
  <si>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</si>
  <si>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</si>
  <si>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</si>
  <si>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</si>
  <si>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</si>
  <si>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</si>
  <si>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</si>
  <si>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</si>
  <si>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</si>
  <si>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</si>
  <si>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</si>
  <si>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</si>
  <si>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</si>
  <si>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</si>
  <si>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</si>
  <si>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</si>
  <si>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</si>
  <si>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</si>
  <si>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</si>
  <si>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</si>
  <si>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</si>
  <si>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</si>
  <si>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</si>
  <si>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</si>
  <si>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</si>
  <si>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</si>
  <si>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</si>
  <si>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</si>
  <si>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</si>
  <si>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</si>
  <si>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</si>
  <si>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</si>
  <si>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</si>
  <si>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</si>
  <si>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</si>
  <si>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</si>
  <si>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</si>
  <si>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</si>
  <si>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</si>
  <si>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</si>
  <si>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</si>
  <si>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</si>
  <si>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</si>
  <si>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</si>
  <si>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</si>
  <si>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</si>
  <si>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</si>
  <si>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</si>
  <si>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</si>
  <si>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</si>
  <si>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</si>
  <si>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</si>
  <si>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</si>
  <si>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</si>
  <si>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</si>
  <si>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</si>
  <si>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</si>
  <si>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</si>
  <si>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</si>
  <si>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</si>
  <si>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</si>
  <si>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</si>
  <si>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</si>
  <si>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</si>
  <si>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</si>
  <si>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</si>
  <si>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</si>
  <si>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</si>
  <si>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</si>
  <si>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</si>
  <si>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</si>
  <si>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</si>
  <si>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</si>
  <si>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</si>
  <si>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</si>
  <si>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</si>
  <si>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</si>
  <si>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</si>
  <si>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</si>
  <si>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</si>
  <si>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</si>
  <si>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</si>
  <si>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</si>
  <si>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</si>
  <si>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</si>
  <si>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</si>
  <si>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</si>
  <si>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</si>
  <si>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</si>
  <si>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</si>
  <si>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</si>
  <si>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</si>
  <si>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</si>
  <si>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</si>
  <si>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</si>
  <si>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</si>
  <si>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</si>
  <si>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</si>
  <si>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</si>
  <si>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</si>
  <si>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</si>
  <si>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</si>
  <si>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</si>
  <si>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</si>
  <si>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</si>
  <si>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</si>
  <si>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</si>
  <si>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</si>
  <si>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</si>
  <si>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</si>
  <si>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</si>
  <si>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</si>
  <si>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</si>
  <si>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</si>
  <si>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</si>
  <si>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</si>
  <si>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</si>
  <si>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</si>
  <si>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</si>
  <si>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</si>
  <si>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</si>
  <si>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</si>
  <si>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</si>
  <si>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</si>
  <si>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</si>
  <si>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</si>
  <si>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</si>
  <si>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</si>
  <si>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</si>
  <si>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</si>
  <si>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</si>
  <si>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</si>
  <si>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</si>
  <si>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</si>
  <si>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</si>
  <si>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</si>
  <si>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</si>
  <si>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</si>
  <si>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</si>
  <si>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</si>
  <si>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</si>
  <si>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</si>
  <si>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</si>
  <si>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</si>
  <si>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</si>
  <si>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</si>
  <si>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</si>
  <si>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</si>
  <si>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</si>
  <si>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</si>
  <si>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</si>
  <si>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</si>
  <si>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</si>
  <si>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</si>
  <si>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</si>
  <si>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</si>
  <si>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</si>
  <si>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</si>
  <si>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</si>
  <si>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</si>
  <si>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</si>
  <si>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</si>
  <si>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</si>
  <si>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</si>
  <si>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</si>
  <si>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</si>
  <si>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</si>
  <si>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</si>
  <si>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</si>
  <si>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</si>
  <si>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</si>
  <si>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</si>
  <si>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</si>
  <si>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</si>
  <si>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</si>
  <si>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</si>
  <si>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</si>
  <si>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</si>
  <si>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</si>
  <si>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</si>
  <si>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</si>
  <si>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</si>
  <si>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</si>
  <si>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</si>
  <si>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</si>
  <si>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</si>
  <si>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</si>
  <si>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</si>
  <si>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</si>
  <si>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</si>
  <si>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</si>
  <si>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</si>
  <si>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</si>
  <si>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</si>
  <si>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</si>
  <si>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</si>
  <si>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</si>
  <si>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</si>
  <si>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</si>
  <si>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</si>
  <si>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</si>
  <si>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</si>
  <si>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</si>
  <si>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</si>
  <si>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</si>
  <si>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</si>
  <si>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</si>
  <si>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</si>
  <si>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</si>
  <si>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</si>
  <si>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</si>
  <si>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</si>
  <si>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</si>
  <si>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</si>
  <si>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</si>
  <si>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</si>
  <si>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</si>
  <si>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</si>
  <si>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</si>
  <si>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</si>
  <si>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</si>
  <si>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</si>
  <si>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</si>
  <si>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</si>
  <si>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</si>
  <si>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</si>
  <si>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</si>
  <si>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</si>
  <si>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</si>
  <si>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</si>
  <si>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</si>
  <si>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</si>
  <si>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</si>
  <si>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</si>
  <si>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</si>
  <si>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</si>
  <si>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</si>
  <si>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</si>
  <si>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</si>
  <si>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</si>
  <si>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</si>
  <si>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</si>
  <si>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</si>
  <si>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</si>
  <si>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</si>
  <si>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</si>
  <si>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</si>
  <si>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</si>
  <si>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</si>
  <si>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</si>
  <si>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</si>
  <si>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</si>
  <si>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</si>
  <si>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</si>
  <si>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</si>
  <si>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</si>
  <si>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</si>
  <si>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</si>
  <si>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</si>
  <si>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</si>
  <si>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</si>
  <si>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</si>
  <si>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</si>
  <si>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</si>
  <si>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</si>
  <si>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</si>
  <si>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</si>
  <si>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</si>
  <si>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Strandberg</t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</si>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</sst>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32"/>
  <sheetViews>
    <sheetView tabSelected="1" topLeftCell="A110" zoomScaleNormal="100" workbookViewId="0">
      <selection activeCell="K132" sqref="K132"/>
    </sheetView>
  </sheetViews>
  <sheetFormatPr defaultColWidth="9" defaultRowHeight="12.6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1178</v>
      </c>
      <c r="I17" s="19" t="s">
        <v>1153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1181</v>
      </c>
      <c r="I19" s="19" t="s">
        <v>1153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153</v>
      </c>
      <c r="C92" s="6" t="s">
        <v>1398</v>
      </c>
      <c r="D92" s="6" t="s">
        <v>1127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1397</v>
      </c>
      <c r="C93" s="8" t="s">
        <v>1184</v>
      </c>
      <c r="D93" s="8"/>
      <c r="E93" s="8">
        <v>1</v>
      </c>
      <c r="F93" s="8"/>
      <c r="G93" s="9">
        <v>0</v>
      </c>
      <c r="H93" s="9" t="s">
        <v>125</v>
      </c>
      <c r="I93" s="8" t="s">
        <v>1433</v>
      </c>
      <c r="K93" s="5" t="str">
        <f t="shared" ref="K93:K97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1397</v>
      </c>
      <c r="C94" s="8" t="s">
        <v>1292</v>
      </c>
      <c r="D94" s="8"/>
      <c r="E94" s="8">
        <v>2</v>
      </c>
      <c r="F94" s="8"/>
      <c r="G94" s="9">
        <v>0</v>
      </c>
      <c r="H94" s="9" t="s">
        <v>125</v>
      </c>
      <c r="I94" s="8" t="s">
        <v>1431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1397</v>
      </c>
      <c r="C95" s="8" t="s">
        <v>1198</v>
      </c>
      <c r="D95" s="8"/>
      <c r="E95" s="8">
        <v>3</v>
      </c>
      <c r="F95" s="8"/>
      <c r="G95" s="9">
        <v>0</v>
      </c>
      <c r="H95" s="9" t="s">
        <v>125</v>
      </c>
      <c r="I95" s="8" t="s">
        <v>1289</v>
      </c>
      <c r="K95" s="5" t="str">
        <f t="shared" si="11"/>
        <v>INSERT INTO m_code VALUES ('code009',3,'Gibson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6" spans="2:11">
      <c r="B96" s="8" t="s">
        <v>1397</v>
      </c>
      <c r="C96" s="8" t="s">
        <v>1399</v>
      </c>
      <c r="D96" s="8"/>
      <c r="E96" s="8">
        <v>4</v>
      </c>
      <c r="F96" s="8"/>
      <c r="G96" s="9">
        <v>0</v>
      </c>
      <c r="H96" s="9" t="s">
        <v>125</v>
      </c>
      <c r="I96" s="8" t="s">
        <v>1239</v>
      </c>
      <c r="K96" s="5" t="str">
        <f t="shared" si="11"/>
        <v>INSERT INTO m_code VALUES ('code009',4,'Strandberg','','',0,0.0,'https://strandbergguitars.com/en-US/guitars');</v>
      </c>
    </row>
    <row r="97" spans="2:11">
      <c r="B97" s="8" t="s">
        <v>1397</v>
      </c>
      <c r="C97" s="8" t="s">
        <v>1301</v>
      </c>
      <c r="D97" s="8"/>
      <c r="E97" s="8">
        <v>5</v>
      </c>
      <c r="F97" s="8"/>
      <c r="G97" s="9">
        <v>0</v>
      </c>
      <c r="H97" s="9" t="s">
        <v>125</v>
      </c>
      <c r="I97" s="8" t="s">
        <v>1302</v>
      </c>
      <c r="K97" s="5" t="str">
        <f t="shared" si="11"/>
        <v>INSERT INTO m_code VALUES ('code009',5,'SCHECTER','','',0,0.0,'https://schecter.co.jp/guitar/');</v>
      </c>
    </row>
    <row r="98" spans="2:11">
      <c r="B98" s="6" t="s">
        <v>153</v>
      </c>
      <c r="C98" s="6" t="s">
        <v>1401</v>
      </c>
      <c r="D98" s="6" t="s">
        <v>1127</v>
      </c>
      <c r="E98" s="7" t="s">
        <v>123</v>
      </c>
      <c r="F98" s="6" t="s">
        <v>120</v>
      </c>
      <c r="G98" s="6" t="s">
        <v>121</v>
      </c>
      <c r="H98" s="6" t="s">
        <v>122</v>
      </c>
      <c r="I98" s="6" t="s">
        <v>133</v>
      </c>
    </row>
    <row r="99" spans="2:11">
      <c r="B99" s="8" t="s">
        <v>1430</v>
      </c>
      <c r="C99" s="8" t="s">
        <v>1438</v>
      </c>
      <c r="D99" s="8"/>
      <c r="E99" s="8">
        <v>0</v>
      </c>
      <c r="F99" s="8" t="s">
        <v>1437</v>
      </c>
      <c r="G99" s="9">
        <v>0</v>
      </c>
      <c r="H99" s="9" t="s">
        <v>125</v>
      </c>
      <c r="I99" s="8"/>
      <c r="K99" s="5" t="str">
        <f t="shared" ref="K99:K131" si="12">"INSERT INTO m_code VALUES ("&amp;"'"&amp;B99&amp;"'"&amp;","&amp;E99&amp;","&amp;"'"&amp;C99&amp;"'"&amp;","&amp;"'"&amp;D99&amp;"'"&amp;","&amp;"'"&amp;F99&amp;"'"&amp;","&amp;G99&amp;","&amp;H99&amp;","&amp;"'"&amp;I99&amp;"'"&amp;");"</f>
        <v>INSERT INTO m_code VALUES ('code010',0,'Unknown','','？？',0,0.0,'');</v>
      </c>
    </row>
    <row r="100" spans="2:11">
      <c r="B100" s="8" t="s">
        <v>1430</v>
      </c>
      <c r="C100" s="8" t="s">
        <v>1439</v>
      </c>
      <c r="D100" s="8"/>
      <c r="E100" s="8">
        <v>1</v>
      </c>
      <c r="F100" s="8" t="s">
        <v>1453</v>
      </c>
      <c r="G100" s="9">
        <v>0</v>
      </c>
      <c r="H100" s="9" t="s">
        <v>125</v>
      </c>
      <c r="I100" s="8" t="s">
        <v>1477</v>
      </c>
      <c r="K100" s="5" t="str">
        <f t="shared" si="12"/>
        <v>INSERT INTO m_code VALUES ('code010',1,'HardMaple','','ハードメイプル',0,0.0,'硬質でタイト、明瞭なアタック。');</v>
      </c>
    </row>
    <row r="101" spans="2:11">
      <c r="B101" s="8" t="s">
        <v>1430</v>
      </c>
      <c r="C101" s="8" t="s">
        <v>1440</v>
      </c>
      <c r="D101" s="8"/>
      <c r="E101" s="8">
        <v>2</v>
      </c>
      <c r="F101" s="8" t="s">
        <v>1454</v>
      </c>
      <c r="G101" s="9">
        <v>0</v>
      </c>
      <c r="H101" s="9" t="s">
        <v>125</v>
      </c>
      <c r="I101" s="8" t="s">
        <v>1478</v>
      </c>
      <c r="K101" s="5" t="str">
        <f t="shared" si="12"/>
        <v>INSERT INTO m_code VALUES ('code010',2,'FlameMaple','','フレイムメイプル',0,0.0,'明るく抜けが良く、華やかな倍音。');</v>
      </c>
    </row>
    <row r="102" spans="2:11">
      <c r="B102" s="8" t="s">
        <v>1430</v>
      </c>
      <c r="C102" s="8" t="s">
        <v>1441</v>
      </c>
      <c r="D102" s="8"/>
      <c r="E102" s="8">
        <v>3</v>
      </c>
      <c r="F102" s="8" t="s">
        <v>1455</v>
      </c>
      <c r="G102" s="9">
        <v>0</v>
      </c>
      <c r="H102" s="9" t="s">
        <v>125</v>
      </c>
      <c r="I102" s="8" t="s">
        <v>1479</v>
      </c>
      <c r="K102" s="5" t="str">
        <f t="shared" si="12"/>
        <v>INSERT INTO m_code VALUES ('code010',3,'QuiltedMaple','','キルテッドメイプル',0,0.0,'立体的で広がりがあり、煌びやかな響き。');</v>
      </c>
    </row>
    <row r="103" spans="2:11">
      <c r="B103" s="8" t="s">
        <v>1430</v>
      </c>
      <c r="C103" s="8" t="s">
        <v>1442</v>
      </c>
      <c r="D103" s="8"/>
      <c r="E103" s="8">
        <v>4</v>
      </c>
      <c r="F103" s="8" t="s">
        <v>1456</v>
      </c>
      <c r="G103" s="9">
        <v>0</v>
      </c>
      <c r="H103" s="9" t="s">
        <v>125</v>
      </c>
      <c r="I103" s="8" t="s">
        <v>1480</v>
      </c>
      <c r="K103" s="5" t="str">
        <f t="shared" si="12"/>
        <v>INSERT INTO m_code VALUES ('code010',4,'BirdseyeMaple','','バーズアイメイプル',0,0.0,'粒立ちが良く、明るくシャープ。');</v>
      </c>
    </row>
    <row r="104" spans="2:11">
      <c r="B104" s="8" t="s">
        <v>1430</v>
      </c>
      <c r="C104" s="8" t="s">
        <v>1443</v>
      </c>
      <c r="D104" s="8"/>
      <c r="E104" s="8">
        <v>5</v>
      </c>
      <c r="F104" s="8" t="s">
        <v>1457</v>
      </c>
      <c r="G104" s="9">
        <v>0</v>
      </c>
      <c r="H104" s="9" t="s">
        <v>125</v>
      </c>
      <c r="I104" s="8" t="s">
        <v>1481</v>
      </c>
      <c r="K104" s="5" t="str">
        <f t="shared" si="12"/>
        <v>INSERT INTO m_code VALUES ('code010',5,'RoastedMaple','','ローステッドメイプル',0,0.0,'引き締まったタイトな音で反応が速い。');</v>
      </c>
    </row>
    <row r="105" spans="2:11">
      <c r="B105" s="8" t="s">
        <v>1430</v>
      </c>
      <c r="C105" s="8" t="s">
        <v>1402</v>
      </c>
      <c r="D105" s="8"/>
      <c r="E105" s="8">
        <v>6</v>
      </c>
      <c r="F105" s="8" t="s">
        <v>1452</v>
      </c>
      <c r="G105" s="9">
        <v>0</v>
      </c>
      <c r="H105" s="9" t="s">
        <v>125</v>
      </c>
      <c r="I105" s="8" t="s">
        <v>1476</v>
      </c>
      <c r="K105" s="5" t="str">
        <f t="shared" si="12"/>
        <v>INSERT INTO m_code VALUES ('code010',6,'Maple','','メイプル',0,0.0,'明るくハリがあり、アタックが強い。');</v>
      </c>
    </row>
    <row r="106" spans="2:11">
      <c r="B106" s="8" t="s">
        <v>1430</v>
      </c>
      <c r="C106" s="8" t="s">
        <v>1444</v>
      </c>
      <c r="D106" s="8"/>
      <c r="E106" s="8">
        <v>7</v>
      </c>
      <c r="F106" s="8" t="s">
        <v>1458</v>
      </c>
      <c r="G106" s="9">
        <v>0</v>
      </c>
      <c r="H106" s="9" t="s">
        <v>125</v>
      </c>
      <c r="I106" s="8" t="s">
        <v>1483</v>
      </c>
      <c r="K106" s="5" t="str">
        <f t="shared" si="12"/>
        <v>INSERT INTO m_code VALUES ('code010',7,'HonduranMahogany','','ホンジュラスマホガニー',0,0.0,'深みがあり、太くリッチな中低域。');</v>
      </c>
    </row>
    <row r="107" spans="2:11">
      <c r="B107" s="8" t="s">
        <v>1430</v>
      </c>
      <c r="C107" s="8" t="s">
        <v>1403</v>
      </c>
      <c r="D107" s="8"/>
      <c r="E107" s="8">
        <v>8</v>
      </c>
      <c r="F107" s="8" t="s">
        <v>1421</v>
      </c>
      <c r="G107" s="9">
        <v>0</v>
      </c>
      <c r="H107" s="9" t="s">
        <v>125</v>
      </c>
      <c r="I107" s="8" t="s">
        <v>1482</v>
      </c>
      <c r="K107" s="5" t="str">
        <f t="shared" si="12"/>
        <v>INSERT INTO m_code VALUES ('code010',8,'Mahogany','','マホガニー',0,0.0,'中低域が豊かで温かい音。');</v>
      </c>
    </row>
    <row r="108" spans="2:11">
      <c r="B108" s="8" t="s">
        <v>1430</v>
      </c>
      <c r="C108" s="8" t="s">
        <v>1445</v>
      </c>
      <c r="D108" s="8"/>
      <c r="E108" s="8">
        <v>9</v>
      </c>
      <c r="F108" s="8" t="s">
        <v>1459</v>
      </c>
      <c r="G108" s="9">
        <v>0</v>
      </c>
      <c r="H108" s="9" t="s">
        <v>125</v>
      </c>
      <c r="I108" s="8" t="s">
        <v>1484</v>
      </c>
      <c r="K108" s="5" t="str">
        <f t="shared" si="12"/>
        <v>INSERT INTO m_code VALUES ('code010',9,'Sapele','','サペリ',0,0.0,'温かく柔らかいトーンでバランスが良い。');</v>
      </c>
    </row>
    <row r="109" spans="2:11">
      <c r="B109" s="8" t="s">
        <v>1430</v>
      </c>
      <c r="C109" s="8" t="s">
        <v>1410</v>
      </c>
      <c r="D109" s="8"/>
      <c r="E109" s="8">
        <v>10</v>
      </c>
      <c r="F109" s="8" t="s">
        <v>1460</v>
      </c>
      <c r="G109" s="9">
        <v>0</v>
      </c>
      <c r="H109" s="9" t="s">
        <v>125</v>
      </c>
      <c r="I109" s="8" t="s">
        <v>1485</v>
      </c>
      <c r="K109" s="5" t="str">
        <f t="shared" si="12"/>
        <v>INSERT INTO m_code VALUES ('code010',10,'Korina','','コリーナ',0,0.0,'中域が豊かで太い音。');</v>
      </c>
    </row>
    <row r="110" spans="2:11">
      <c r="B110" s="8" t="s">
        <v>1430</v>
      </c>
      <c r="C110" s="8" t="s">
        <v>1446</v>
      </c>
      <c r="D110" s="8"/>
      <c r="E110" s="8">
        <v>11</v>
      </c>
      <c r="F110" s="8" t="s">
        <v>1461</v>
      </c>
      <c r="G110" s="9">
        <v>0</v>
      </c>
      <c r="H110" s="9" t="s">
        <v>125</v>
      </c>
      <c r="I110" s="8" t="s">
        <v>1486</v>
      </c>
      <c r="K110" s="5" t="str">
        <f t="shared" si="12"/>
        <v>INSERT INTO m_code VALUES ('code010',11,'WhiteKorina','','ホワイトコリーナ',0,0.0,'明るく抜けが良く、軽快なレスポンス。');</v>
      </c>
    </row>
    <row r="111" spans="2:11">
      <c r="B111" s="8" t="s">
        <v>1430</v>
      </c>
      <c r="C111" s="8" t="s">
        <v>1404</v>
      </c>
      <c r="D111" s="8"/>
      <c r="E111" s="8">
        <v>12</v>
      </c>
      <c r="F111" s="8" t="s">
        <v>1422</v>
      </c>
      <c r="G111" s="9">
        <v>0</v>
      </c>
      <c r="H111" s="9" t="s">
        <v>125</v>
      </c>
      <c r="I111" s="8" t="s">
        <v>1487</v>
      </c>
      <c r="K111" s="5" t="str">
        <f t="shared" si="12"/>
        <v>INSERT INTO m_code VALUES ('code010',12,'Alder','','アルダー',0,0.0,'バランスが良くクセが少ない。');</v>
      </c>
    </row>
    <row r="112" spans="2:11">
      <c r="B112" s="8" t="s">
        <v>1430</v>
      </c>
      <c r="C112" s="8" t="s">
        <v>1405</v>
      </c>
      <c r="D112" s="8"/>
      <c r="E112" s="8">
        <v>13</v>
      </c>
      <c r="F112" s="8" t="s">
        <v>1462</v>
      </c>
      <c r="G112" s="9">
        <v>0</v>
      </c>
      <c r="H112" s="9" t="s">
        <v>125</v>
      </c>
      <c r="I112" s="8" t="s">
        <v>1488</v>
      </c>
      <c r="K112" s="5" t="str">
        <f t="shared" si="12"/>
        <v>INSERT INTO m_code VALUES ('code010',13,'Ash','','アッシュ',0,0.0,'明るく抜ける音でアタックが強い。');</v>
      </c>
    </row>
    <row r="113" spans="2:11">
      <c r="B113" s="8" t="s">
        <v>1430</v>
      </c>
      <c r="C113" s="8" t="s">
        <v>1406</v>
      </c>
      <c r="D113" s="8"/>
      <c r="E113" s="8">
        <v>14</v>
      </c>
      <c r="F113" s="8" t="s">
        <v>1463</v>
      </c>
      <c r="G113" s="9">
        <v>0</v>
      </c>
      <c r="H113" s="9" t="s">
        <v>125</v>
      </c>
      <c r="I113" s="8" t="s">
        <v>1489</v>
      </c>
      <c r="K113" s="5" t="str">
        <f t="shared" si="12"/>
        <v>INSERT INTO m_code VALUES ('code010',14,'Basswood','','バスウッド',0,0.0,'軽く柔らかく、ウォームで扱いやすい。');</v>
      </c>
    </row>
    <row r="114" spans="2:11">
      <c r="B114" s="8" t="s">
        <v>1430</v>
      </c>
      <c r="C114" s="8" t="s">
        <v>1415</v>
      </c>
      <c r="D114" s="8"/>
      <c r="E114" s="8">
        <v>15</v>
      </c>
      <c r="F114" s="8" t="s">
        <v>1464</v>
      </c>
      <c r="G114" s="9">
        <v>0</v>
      </c>
      <c r="H114" s="9" t="s">
        <v>125</v>
      </c>
      <c r="I114" s="8" t="s">
        <v>1490</v>
      </c>
      <c r="K114" s="5" t="str">
        <f t="shared" si="12"/>
        <v>INSERT INTO m_code VALUES ('code010',15,'Poplar','','ポプラ',0,0.0,'軽く素直でクセが少ない。');</v>
      </c>
    </row>
    <row r="115" spans="2:11">
      <c r="B115" s="8" t="s">
        <v>1430</v>
      </c>
      <c r="C115" s="8" t="s">
        <v>1411</v>
      </c>
      <c r="D115" s="8"/>
      <c r="E115" s="8">
        <v>16</v>
      </c>
      <c r="F115" s="8" t="s">
        <v>1465</v>
      </c>
      <c r="G115" s="9">
        <v>0</v>
      </c>
      <c r="H115" s="9" t="s">
        <v>125</v>
      </c>
      <c r="I115" s="8" t="s">
        <v>1491</v>
      </c>
      <c r="K115" s="5" t="str">
        <f t="shared" si="12"/>
        <v>INSERT INTO m_code VALUES ('code010',16,'Spruce','','スプルース',0,0.0,'軽く響きが良く、明るいトーン。');</v>
      </c>
    </row>
    <row r="116" spans="2:11">
      <c r="B116" s="8" t="s">
        <v>1430</v>
      </c>
      <c r="C116" s="8" t="s">
        <v>1412</v>
      </c>
      <c r="D116" s="8"/>
      <c r="E116" s="8">
        <v>17</v>
      </c>
      <c r="F116" s="8" t="s">
        <v>1466</v>
      </c>
      <c r="G116" s="9">
        <v>0</v>
      </c>
      <c r="H116" s="9" t="s">
        <v>125</v>
      </c>
      <c r="I116" s="8" t="s">
        <v>1492</v>
      </c>
      <c r="K116" s="5" t="str">
        <f t="shared" si="12"/>
        <v>INSERT INTO m_code VALUES ('code010',17,'Cedar','','シダー',0,0.0,'柔らかく温かい音。');</v>
      </c>
    </row>
    <row r="117" spans="2:11">
      <c r="B117" s="8" t="s">
        <v>1430</v>
      </c>
      <c r="C117" s="8" t="s">
        <v>1447</v>
      </c>
      <c r="D117" s="8"/>
      <c r="E117" s="8">
        <v>18</v>
      </c>
      <c r="F117" s="8" t="s">
        <v>1468</v>
      </c>
      <c r="G117" s="9">
        <v>0</v>
      </c>
      <c r="H117" s="9" t="s">
        <v>125</v>
      </c>
      <c r="I117" s="8" t="s">
        <v>1494</v>
      </c>
      <c r="K117" s="5" t="str">
        <f t="shared" si="12"/>
        <v>INSERT INTO m_code VALUES ('code010',18,'IndianRosewood','','インディアンローズウッド',0,0.0,'甘く深みがあり、豊かな中低域。');</v>
      </c>
    </row>
    <row r="118" spans="2:11">
      <c r="B118" s="8" t="s">
        <v>1430</v>
      </c>
      <c r="C118" s="8" t="s">
        <v>1448</v>
      </c>
      <c r="D118" s="8"/>
      <c r="E118" s="8">
        <v>19</v>
      </c>
      <c r="F118" s="8" t="s">
        <v>1469</v>
      </c>
      <c r="G118" s="9">
        <v>0</v>
      </c>
      <c r="H118" s="9" t="s">
        <v>125</v>
      </c>
      <c r="I118" s="8" t="s">
        <v>1495</v>
      </c>
      <c r="K118" s="5" t="str">
        <f t="shared" si="12"/>
        <v>INSERT INTO m_code VALUES ('code010',19,'BrazilianRosewood','','ブラジリアンローズウッド',0,0.0,'濃厚で深いトーン、豊かな倍音。');</v>
      </c>
    </row>
    <row r="119" spans="2:11">
      <c r="B119" s="8" t="s">
        <v>1430</v>
      </c>
      <c r="C119" s="8" t="s">
        <v>1407</v>
      </c>
      <c r="D119" s="8"/>
      <c r="E119" s="8">
        <v>20</v>
      </c>
      <c r="F119" s="8" t="s">
        <v>1467</v>
      </c>
      <c r="G119" s="9">
        <v>0</v>
      </c>
      <c r="H119" s="9" t="s">
        <v>125</v>
      </c>
      <c r="I119" s="8" t="s">
        <v>1493</v>
      </c>
      <c r="K119" s="5" t="str">
        <f t="shared" si="12"/>
        <v>INSERT INTO m_code VALUES ('code010',20,'Rosewood','','ローズウッド',0,0.0,'甘く丸い音で中域が豊か。');</v>
      </c>
    </row>
    <row r="120" spans="2:11">
      <c r="B120" s="8" t="s">
        <v>1430</v>
      </c>
      <c r="C120" s="8" t="s">
        <v>1449</v>
      </c>
      <c r="D120" s="8"/>
      <c r="E120" s="8">
        <v>21</v>
      </c>
      <c r="F120" s="8" t="s">
        <v>1423</v>
      </c>
      <c r="G120" s="9">
        <v>0</v>
      </c>
      <c r="H120" s="9" t="s">
        <v>125</v>
      </c>
      <c r="I120" s="8" t="s">
        <v>1496</v>
      </c>
      <c r="K120" s="5" t="str">
        <f t="shared" si="12"/>
        <v>INSERT INTO m_code VALUES ('code010',21,'PauFerro','','パーフェロー',0,0.0,'明るく硬質でタイトな音。');</v>
      </c>
    </row>
    <row r="121" spans="2:11">
      <c r="B121" s="8" t="s">
        <v>1430</v>
      </c>
      <c r="C121" s="8" t="s">
        <v>1413</v>
      </c>
      <c r="D121" s="8"/>
      <c r="E121" s="8">
        <v>22</v>
      </c>
      <c r="F121" s="8" t="s">
        <v>1424</v>
      </c>
      <c r="G121" s="9">
        <v>0</v>
      </c>
      <c r="H121" s="9" t="s">
        <v>125</v>
      </c>
      <c r="I121" s="8" t="s">
        <v>1497</v>
      </c>
      <c r="K121" s="5" t="str">
        <f t="shared" si="12"/>
        <v>INSERT INTO m_code VALUES ('code010',22,'Ovangkol','','オバンコール',0,0.0,'中域が豊かで温かいトーン。');</v>
      </c>
    </row>
    <row r="122" spans="2:11">
      <c r="B122" s="8" t="s">
        <v>1430</v>
      </c>
      <c r="C122" s="8" t="s">
        <v>1408</v>
      </c>
      <c r="D122" s="8"/>
      <c r="E122" s="8">
        <v>23</v>
      </c>
      <c r="F122" s="8" t="s">
        <v>1470</v>
      </c>
      <c r="G122" s="9">
        <v>0</v>
      </c>
      <c r="H122" s="9" t="s">
        <v>125</v>
      </c>
      <c r="I122" s="8" t="s">
        <v>1498</v>
      </c>
      <c r="K122" s="5" t="str">
        <f t="shared" si="12"/>
        <v>INSERT INTO m_code VALUES ('code010',23,'Ebony','','エボニー',0,0.0,'硬くタイトで高域がクリア。');</v>
      </c>
    </row>
    <row r="123" spans="2:11">
      <c r="B123" s="8" t="s">
        <v>1430</v>
      </c>
      <c r="C123" s="8" t="s">
        <v>1409</v>
      </c>
      <c r="D123" s="8"/>
      <c r="E123" s="8">
        <v>24</v>
      </c>
      <c r="F123" s="8" t="s">
        <v>1471</v>
      </c>
      <c r="G123" s="9">
        <v>0</v>
      </c>
      <c r="H123" s="9" t="s">
        <v>125</v>
      </c>
      <c r="I123" s="8" t="s">
        <v>1429</v>
      </c>
      <c r="K123" s="5" t="str">
        <f t="shared" si="12"/>
        <v>INSERT INTO m_code VALUES ('code010',24,'Walnut','','ウォルナット',0,0.0,'中域が豊かで落ち着いたトーン。');</v>
      </c>
    </row>
    <row r="124" spans="2:11">
      <c r="B124" s="8" t="s">
        <v>1430</v>
      </c>
      <c r="C124" s="8" t="s">
        <v>1450</v>
      </c>
      <c r="D124" s="8"/>
      <c r="E124" s="8">
        <v>25</v>
      </c>
      <c r="F124" s="8" t="s">
        <v>1472</v>
      </c>
      <c r="G124" s="9">
        <v>0</v>
      </c>
      <c r="H124" s="9" t="s">
        <v>125</v>
      </c>
      <c r="I124" s="8" t="s">
        <v>1499</v>
      </c>
      <c r="K124" s="5" t="str">
        <f t="shared" si="12"/>
        <v>INSERT INTO m_code VALUES ('code010',25,'Padauk','','パドゥーク',0,0.0,'明るく抜けが良く、個性的な響き。');</v>
      </c>
    </row>
    <row r="125" spans="2:11">
      <c r="B125" s="8" t="s">
        <v>1430</v>
      </c>
      <c r="C125" s="8" t="s">
        <v>1414</v>
      </c>
      <c r="D125" s="8"/>
      <c r="E125" s="8">
        <v>26</v>
      </c>
      <c r="F125" s="8" t="s">
        <v>1473</v>
      </c>
      <c r="G125" s="9">
        <v>0</v>
      </c>
      <c r="H125" s="9" t="s">
        <v>125</v>
      </c>
      <c r="I125" s="8" t="s">
        <v>1500</v>
      </c>
      <c r="K125" s="5" t="str">
        <f t="shared" si="12"/>
        <v>INSERT INTO m_code VALUES ('code010',26,'Koa','','コア',0,0.0,'明るく華やかで軽快。');</v>
      </c>
    </row>
    <row r="126" spans="2:11">
      <c r="B126" s="8" t="s">
        <v>1430</v>
      </c>
      <c r="C126" s="8" t="s">
        <v>1416</v>
      </c>
      <c r="D126" s="8"/>
      <c r="E126" s="8">
        <v>27</v>
      </c>
      <c r="F126" s="8" t="s">
        <v>1474</v>
      </c>
      <c r="G126" s="9">
        <v>0</v>
      </c>
      <c r="H126" s="9" t="s">
        <v>125</v>
      </c>
      <c r="I126" s="8" t="s">
        <v>1501</v>
      </c>
      <c r="K126" s="5" t="str">
        <f t="shared" si="12"/>
        <v>INSERT INTO m_code VALUES ('code010',27,'Nato','','ナトー',0,0.0,'中低域が豊かで温かい。');</v>
      </c>
    </row>
    <row r="127" spans="2:11">
      <c r="B127" s="8" t="s">
        <v>1430</v>
      </c>
      <c r="C127" s="8" t="s">
        <v>1417</v>
      </c>
      <c r="D127" s="8"/>
      <c r="E127" s="8">
        <v>28</v>
      </c>
      <c r="F127" s="8" t="s">
        <v>1425</v>
      </c>
      <c r="G127" s="9">
        <v>0</v>
      </c>
      <c r="H127" s="9" t="s">
        <v>125</v>
      </c>
      <c r="I127" s="8" t="s">
        <v>1502</v>
      </c>
      <c r="K127" s="5" t="str">
        <f t="shared" si="12"/>
        <v>INSERT INTO m_code VALUES ('code010',28,'Agathis','','アガチス',0,0.0,'柔らかくウォームで素直。');</v>
      </c>
    </row>
    <row r="128" spans="2:11">
      <c r="B128" s="8" t="s">
        <v>1430</v>
      </c>
      <c r="C128" s="8" t="s">
        <v>1418</v>
      </c>
      <c r="D128" s="8"/>
      <c r="E128" s="8">
        <v>29</v>
      </c>
      <c r="F128" s="8" t="s">
        <v>1426</v>
      </c>
      <c r="G128" s="9">
        <v>0</v>
      </c>
      <c r="H128" s="9" t="s">
        <v>125</v>
      </c>
      <c r="I128" s="8" t="s">
        <v>1503</v>
      </c>
      <c r="K128" s="5" t="str">
        <f t="shared" si="12"/>
        <v>INSERT INTO m_code VALUES ('code010',29,'Bubinga','','ブビンガ',0,0.0,'重く硬質でサスティンが長い。');</v>
      </c>
    </row>
    <row r="129" spans="2:11">
      <c r="B129" s="8" t="s">
        <v>1430</v>
      </c>
      <c r="C129" s="8" t="s">
        <v>1419</v>
      </c>
      <c r="D129" s="8"/>
      <c r="E129" s="8">
        <v>30</v>
      </c>
      <c r="F129" s="8" t="s">
        <v>1427</v>
      </c>
      <c r="G129" s="9">
        <v>0</v>
      </c>
      <c r="H129" s="9" t="s">
        <v>125</v>
      </c>
      <c r="I129" s="8" t="s">
        <v>1504</v>
      </c>
      <c r="K129" s="5" t="str">
        <f t="shared" si="12"/>
        <v>INSERT INTO m_code VALUES ('code010',30,'Wenge','','ウェンジ',0,0.0,'非常に硬くタイトで個性的。');</v>
      </c>
    </row>
    <row r="130" spans="2:11">
      <c r="B130" s="8" t="s">
        <v>1430</v>
      </c>
      <c r="C130" s="8" t="s">
        <v>1420</v>
      </c>
      <c r="D130" s="8"/>
      <c r="E130" s="8">
        <v>31</v>
      </c>
      <c r="F130" s="8" t="s">
        <v>1428</v>
      </c>
      <c r="G130" s="9">
        <v>0</v>
      </c>
      <c r="H130" s="9" t="s">
        <v>125</v>
      </c>
      <c r="I130" s="8" t="s">
        <v>1505</v>
      </c>
      <c r="K130" s="5" t="str">
        <f t="shared" si="12"/>
        <v>INSERT INTO m_code VALUES ('code010',31,'Purpleheart','','パープルハート',0,0.0,'硬く鮮やかでアタックが強い。');</v>
      </c>
    </row>
    <row r="131" spans="2:11">
      <c r="B131" s="8" t="s">
        <v>1430</v>
      </c>
      <c r="C131" s="8" t="s">
        <v>1451</v>
      </c>
      <c r="D131" s="8"/>
      <c r="E131" s="8">
        <v>32</v>
      </c>
      <c r="F131" s="8" t="s">
        <v>1475</v>
      </c>
      <c r="G131" s="9">
        <v>0</v>
      </c>
      <c r="H131" s="9" t="s">
        <v>125</v>
      </c>
      <c r="I131" s="8" t="s">
        <v>1506</v>
      </c>
      <c r="K131" s="5" t="str">
        <f t="shared" si="12"/>
        <v>INSERT INTO m_code VALUES ('code010',32,'Zebrawood','','ゼブラウッド',0,0.0,'明るく硬質でクセのあるトーン。');</v>
      </c>
    </row>
    <row r="132" spans="2:11">
      <c r="B132" s="8" t="s">
        <v>1430</v>
      </c>
      <c r="C132" s="8" t="s">
        <v>1507</v>
      </c>
      <c r="D132" s="8"/>
      <c r="E132" s="8">
        <v>99</v>
      </c>
      <c r="F132" s="8" t="s">
        <v>1507</v>
      </c>
      <c r="G132" s="9">
        <v>0</v>
      </c>
      <c r="H132" s="9" t="s">
        <v>125</v>
      </c>
      <c r="I132" s="8"/>
      <c r="K132" s="5" t="str">
        <f t="shared" ref="K132" si="13">"INSERT INTO m_code VALUES ("&amp;"'"&amp;B132&amp;"'"&amp;","&amp;E132&amp;","&amp;"'"&amp;C132&amp;"'"&amp;","&amp;"'"&amp;D132&amp;"'"&amp;","&amp;"'"&amp;F132&amp;"'"&amp;","&amp;G132&amp;","&amp;H132&amp;","&amp;"'"&amp;I132&amp;"'"&amp;");"</f>
        <v>INSERT INTO m_code VALUES ('code010',99,'省略','','省略',0,0.0,'');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("&amp;"'"&amp;B6&amp;"'"&amp;","&amp;"'"&amp;C6&amp;"'"&amp;","&amp;VLOOKUP(D6,コード!$C$48:$I$100,3,FALSE)&amp;","&amp;E6&amp;","&amp;F6&amp;","&amp;G6&amp;","&amp;H6&amp;","&amp;VLOOKUP(I6,コード!$C$5:$I$11,3,FALSE)&amp;");"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("&amp;"'"&amp;B7&amp;"'"&amp;","&amp;"'"&amp;C7&amp;"'"&amp;","&amp;VLOOKUP(D7,コード!$C$48:$I$100,3,FALSE)&amp;","&amp;E7&amp;","&amp;F7&amp;","&amp;G7&amp;","&amp;H7&amp;","&amp;VLOOKUP(I7,コード!$C$5:$I$11,3,FALSE)&amp;");"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("&amp;"'"&amp;B8&amp;"'"&amp;","&amp;"'"&amp;C8&amp;"'"&amp;","&amp;VLOOKUP(D8,コード!$C$48:$I$100,3,FALSE)&amp;","&amp;E8&amp;","&amp;F8&amp;","&amp;G8&amp;","&amp;H8&amp;","&amp;VLOOKUP(I8,コード!$C$5:$I$11,3,FALSE)&amp;");"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("&amp;"'"&amp;B9&amp;"'"&amp;","&amp;"'"&amp;C9&amp;"'"&amp;","&amp;VLOOKUP(D9,コード!$C$48:$I$100,3,FALSE)&amp;","&amp;E9&amp;","&amp;F9&amp;","&amp;G9&amp;","&amp;H9&amp;","&amp;VLOOKUP(I9,コード!$C$5:$I$11,3,FALSE)&amp;");"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("&amp;"'"&amp;B10&amp;"'"&amp;","&amp;"'"&amp;C10&amp;"'"&amp;","&amp;VLOOKUP(D10,コード!$C$48:$I$100,3,FALSE)&amp;","&amp;E10&amp;","&amp;F10&amp;","&amp;G10&amp;","&amp;H10&amp;","&amp;VLOOKUP(I10,コード!$C$5:$I$11,3,FALSE)&amp;");"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("&amp;"'"&amp;B11&amp;"'"&amp;","&amp;"'"&amp;C11&amp;"'"&amp;","&amp;VLOOKUP(D11,コード!$C$48:$I$100,3,FALSE)&amp;","&amp;E11&amp;","&amp;F11&amp;","&amp;G11&amp;","&amp;H11&amp;","&amp;VLOOKUP(I11,コード!$C$5:$I$11,3,FALSE)&amp;");"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("&amp;"'"&amp;B12&amp;"'"&amp;","&amp;"'"&amp;C12&amp;"'"&amp;","&amp;VLOOKUP(D12,コード!$C$48:$I$100,3,FALSE)&amp;","&amp;E12&amp;","&amp;F12&amp;","&amp;G12&amp;","&amp;H12&amp;","&amp;VLOOKUP(I12,コード!$C$5:$I$11,3,FALSE)&amp;");"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("&amp;"'"&amp;B13&amp;"'"&amp;","&amp;"'"&amp;C13&amp;"'"&amp;","&amp;VLOOKUP(D13,コード!$C$48:$I$100,3,FALSE)&amp;","&amp;E13&amp;","&amp;F13&amp;","&amp;G13&amp;","&amp;H13&amp;","&amp;VLOOKUP(I13,コード!$C$5:$I$11,3,FALSE)&amp;");"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("&amp;"'"&amp;B14&amp;"'"&amp;","&amp;"'"&amp;C14&amp;"'"&amp;","&amp;VLOOKUP(D14,コード!$C$48:$I$100,3,FALSE)&amp;","&amp;E14&amp;","&amp;F14&amp;","&amp;G14&amp;","&amp;H14&amp;","&amp;VLOOKUP(I14,コード!$C$5:$I$11,3,FALSE)&amp;");"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("&amp;"'"&amp;B15&amp;"'"&amp;","&amp;"'"&amp;C15&amp;"'"&amp;","&amp;VLOOKUP(D15,コード!$C$48:$I$100,3,FALSE)&amp;","&amp;E15&amp;","&amp;F15&amp;","&amp;G15&amp;","&amp;H15&amp;","&amp;VLOOKUP(I15,コード!$C$5:$I$11,3,FALSE)&amp;");"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("&amp;"'"&amp;B16&amp;"'"&amp;","&amp;"'"&amp;C16&amp;"'"&amp;","&amp;VLOOKUP(D16,コード!$C$48:$I$100,3,FALSE)&amp;","&amp;E16&amp;","&amp;F16&amp;","&amp;G16&amp;","&amp;H16&amp;","&amp;VLOOKUP(I16,コード!$C$5:$I$11,3,FALSE)&amp;");"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("&amp;"'"&amp;B17&amp;"'"&amp;","&amp;"'"&amp;C17&amp;"'"&amp;","&amp;VLOOKUP(D17,コード!$C$48:$I$100,3,FALSE)&amp;","&amp;E17&amp;","&amp;F17&amp;","&amp;G17&amp;","&amp;H17&amp;","&amp;VLOOKUP(I17,コード!$C$5:$I$11,3,FALSE)&amp;");"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("&amp;"'"&amp;B18&amp;"'"&amp;","&amp;"'"&amp;C18&amp;"'"&amp;","&amp;VLOOKUP(D18,コード!$C$48:$I$100,3,FALSE)&amp;","&amp;E18&amp;","&amp;F18&amp;","&amp;G18&amp;","&amp;H18&amp;","&amp;VLOOKUP(I18,コード!$C$5:$I$11,3,FALSE)&amp;");"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("&amp;"'"&amp;B19&amp;"'"&amp;","&amp;"'"&amp;C19&amp;"'"&amp;","&amp;VLOOKUP(D19,コード!$C$48:$I$100,3,FALSE)&amp;","&amp;E19&amp;","&amp;F19&amp;","&amp;G19&amp;","&amp;H19&amp;","&amp;VLOOKUP(I19,コード!$C$5:$I$11,3,FALSE)&amp;");"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("&amp;"'"&amp;B20&amp;"'"&amp;","&amp;"'"&amp;C20&amp;"'"&amp;","&amp;VLOOKUP(D20,コード!$C$48:$I$100,3,FALSE)&amp;","&amp;E20&amp;","&amp;F20&amp;","&amp;G20&amp;","&amp;H20&amp;","&amp;VLOOKUP(I20,コード!$C$5:$I$11,3,FALSE)&amp;");"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("&amp;"'"&amp;B21&amp;"'"&amp;","&amp;"'"&amp;C21&amp;"'"&amp;","&amp;VLOOKUP(D21,コード!$C$48:$I$100,3,FALSE)&amp;","&amp;E21&amp;","&amp;F21&amp;","&amp;G21&amp;","&amp;H21&amp;","&amp;VLOOKUP(I21,コード!$C$5:$I$11,3,FALSE)&amp;");"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("&amp;"'"&amp;B22&amp;"'"&amp;","&amp;"'"&amp;C22&amp;"'"&amp;","&amp;VLOOKUP(D22,コード!$C$48:$I$100,3,FALSE)&amp;","&amp;E22&amp;","&amp;F22&amp;","&amp;G22&amp;","&amp;H22&amp;","&amp;VLOOKUP(I22,コード!$C$5:$I$11,3,FALSE)&amp;");"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("&amp;"'"&amp;B23&amp;"'"&amp;","&amp;"'"&amp;C23&amp;"'"&amp;","&amp;VLOOKUP(D23,コード!$C$48:$I$100,3,FALSE)&amp;","&amp;E23&amp;","&amp;F23&amp;","&amp;G23&amp;","&amp;H23&amp;","&amp;VLOOKUP(I23,コード!$C$5:$I$11,3,FALSE)&amp;");"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("&amp;"'"&amp;B24&amp;"'"&amp;","&amp;"'"&amp;C24&amp;"'"&amp;","&amp;VLOOKUP(D24,コード!$C$48:$I$100,3,FALSE)&amp;","&amp;E24&amp;","&amp;F24&amp;","&amp;G24&amp;","&amp;H24&amp;","&amp;VLOOKUP(I24,コード!$C$5:$I$11,3,FALSE)&amp;");"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("&amp;"'"&amp;B25&amp;"'"&amp;","&amp;"'"&amp;C25&amp;"'"&amp;","&amp;VLOOKUP(D25,コード!$C$48:$I$100,3,FALSE)&amp;","&amp;E25&amp;","&amp;F25&amp;","&amp;G25&amp;","&amp;H25&amp;","&amp;VLOOKUP(I25,コード!$C$5:$I$11,3,FALSE)&amp;");"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("&amp;"'"&amp;B26&amp;"'"&amp;","&amp;"'"&amp;C26&amp;"'"&amp;","&amp;VLOOKUP(D26,コード!$C$48:$I$100,3,FALSE)&amp;","&amp;E26&amp;","&amp;F26&amp;","&amp;G26&amp;","&amp;H26&amp;","&amp;VLOOKUP(I26,コード!$C$5:$I$11,3,FALSE)&amp;");"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("&amp;"'"&amp;B27&amp;"'"&amp;","&amp;"'"&amp;C27&amp;"'"&amp;","&amp;VLOOKUP(D27,コード!$C$48:$I$100,3,FALSE)&amp;","&amp;E27&amp;","&amp;F27&amp;","&amp;G27&amp;","&amp;H27&amp;","&amp;VLOOKUP(I27,コード!$C$5:$I$11,3,FALSE)&amp;");"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("&amp;"'"&amp;B28&amp;"'"&amp;","&amp;"'"&amp;C28&amp;"'"&amp;","&amp;VLOOKUP(D28,コード!$C$48:$I$100,3,FALSE)&amp;","&amp;E28&amp;","&amp;F28&amp;","&amp;G28&amp;","&amp;H28&amp;","&amp;VLOOKUP(I28,コード!$C$5:$I$11,3,FALSE)&amp;");"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("&amp;"'"&amp;B29&amp;"'"&amp;","&amp;"'"&amp;C29&amp;"'"&amp;","&amp;VLOOKUP(D29,コード!$C$48:$I$100,3,FALSE)&amp;","&amp;E29&amp;","&amp;F29&amp;","&amp;G29&amp;","&amp;H29&amp;","&amp;VLOOKUP(I29,コード!$C$5:$I$11,3,FALSE)&amp;");"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("&amp;"'"&amp;B30&amp;"'"&amp;","&amp;"'"&amp;C30&amp;"'"&amp;","&amp;VLOOKUP(D30,コード!$C$48:$I$100,3,FALSE)&amp;","&amp;E30&amp;","&amp;F30&amp;","&amp;G30&amp;","&amp;H30&amp;","&amp;VLOOKUP(I30,コード!$C$5:$I$11,3,FALSE)&amp;");"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("&amp;"'"&amp;B31&amp;"'"&amp;","&amp;"'"&amp;C31&amp;"'"&amp;","&amp;VLOOKUP(D31,コード!$C$48:$I$100,3,FALSE)&amp;","&amp;E31&amp;","&amp;F31&amp;","&amp;G31&amp;","&amp;H31&amp;","&amp;VLOOKUP(I31,コード!$C$5:$I$11,3,FALSE)&amp;");"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("&amp;"'"&amp;B32&amp;"'"&amp;","&amp;"'"&amp;C32&amp;"'"&amp;","&amp;VLOOKUP(D32,コード!$C$48:$I$100,3,FALSE)&amp;","&amp;E32&amp;","&amp;F32&amp;","&amp;G32&amp;","&amp;H32&amp;","&amp;VLOOKUP(I32,コード!$C$5:$I$11,3,FALSE)&amp;");"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("&amp;"'"&amp;B33&amp;"'"&amp;","&amp;"'"&amp;C33&amp;"'"&amp;","&amp;VLOOKUP(D33,コード!$C$48:$I$100,3,FALSE)&amp;","&amp;E33&amp;","&amp;F33&amp;","&amp;G33&amp;","&amp;H33&amp;","&amp;VLOOKUP(I33,コード!$C$5:$I$11,3,FALSE)&amp;");"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("&amp;"'"&amp;B34&amp;"'"&amp;","&amp;"'"&amp;C34&amp;"'"&amp;","&amp;VLOOKUP(D34,コード!$C$48:$I$100,3,FALSE)&amp;","&amp;E34&amp;","&amp;F34&amp;","&amp;G34&amp;","&amp;H34&amp;","&amp;VLOOKUP(I34,コード!$C$5:$I$11,3,FALSE)&amp;");"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("&amp;"'"&amp;B35&amp;"'"&amp;","&amp;"'"&amp;C35&amp;"'"&amp;","&amp;VLOOKUP(D35,コード!$C$48:$I$100,3,FALSE)&amp;","&amp;E35&amp;","&amp;F35&amp;","&amp;G35&amp;","&amp;H35&amp;","&amp;VLOOKUP(I35,コード!$C$5:$I$11,3,FALSE)&amp;");"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("&amp;"'"&amp;B36&amp;"'"&amp;","&amp;"'"&amp;C36&amp;"'"&amp;","&amp;VLOOKUP(D36,コード!$C$48:$I$100,3,FALSE)&amp;","&amp;E36&amp;","&amp;F36&amp;","&amp;G36&amp;","&amp;H36&amp;","&amp;VLOOKUP(I36,コード!$C$5:$I$11,3,FALSE)&amp;");"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("&amp;"'"&amp;B37&amp;"'"&amp;","&amp;"'"&amp;C37&amp;"'"&amp;","&amp;VLOOKUP(D37,コード!$C$48:$I$100,3,FALSE)&amp;","&amp;E37&amp;","&amp;F37&amp;","&amp;G37&amp;","&amp;H37&amp;","&amp;VLOOKUP(I37,コード!$C$5:$I$11,3,FALSE)&amp;");"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("&amp;"'"&amp;B38&amp;"'"&amp;","&amp;"'"&amp;C38&amp;"'"&amp;","&amp;VLOOKUP(D38,コード!$C$48:$I$100,3,FALSE)&amp;","&amp;E38&amp;","&amp;F38&amp;","&amp;G38&amp;","&amp;H38&amp;","&amp;VLOOKUP(I38,コード!$C$5:$I$11,3,FALSE)&amp;");"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("&amp;"'"&amp;B39&amp;"'"&amp;","&amp;"'"&amp;C39&amp;"'"&amp;","&amp;VLOOKUP(D39,コード!$C$48:$I$100,3,FALSE)&amp;","&amp;E39&amp;","&amp;F39&amp;","&amp;G39&amp;","&amp;H39&amp;","&amp;VLOOKUP(I39,コード!$C$5:$I$11,3,FALSE)&amp;");"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("&amp;"'"&amp;B40&amp;"'"&amp;","&amp;"'"&amp;C40&amp;"'"&amp;","&amp;VLOOKUP(D40,コード!$C$48:$I$100,3,FALSE)&amp;","&amp;E40&amp;","&amp;F40&amp;","&amp;G40&amp;","&amp;H40&amp;","&amp;VLOOKUP(I40,コード!$C$5:$I$11,3,FALSE)&amp;");"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("&amp;"'"&amp;B41&amp;"'"&amp;","&amp;"'"&amp;C41&amp;"'"&amp;","&amp;VLOOKUP(D41,コード!$C$48:$I$100,3,FALSE)&amp;","&amp;E41&amp;","&amp;F41&amp;","&amp;G41&amp;","&amp;H41&amp;","&amp;VLOOKUP(I41,コード!$C$5:$I$11,3,FALSE)&amp;");"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("&amp;"'"&amp;B42&amp;"'"&amp;","&amp;"'"&amp;C42&amp;"'"&amp;","&amp;VLOOKUP(D42,コード!$C$48:$I$100,3,FALSE)&amp;","&amp;E42&amp;","&amp;F42&amp;","&amp;G42&amp;","&amp;H42&amp;","&amp;VLOOKUP(I42,コード!$C$5:$I$11,3,FALSE)&amp;");"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("&amp;"'"&amp;B43&amp;"'"&amp;","&amp;"'"&amp;C43&amp;"'"&amp;","&amp;VLOOKUP(D43,コード!$C$48:$I$100,3,FALSE)&amp;","&amp;E43&amp;","&amp;F43&amp;","&amp;G43&amp;","&amp;H43&amp;","&amp;VLOOKUP(I43,コード!$C$5:$I$11,3,FALSE)&amp;");"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("&amp;"'"&amp;B44&amp;"'"&amp;","&amp;"'"&amp;C44&amp;"'"&amp;","&amp;VLOOKUP(D44,コード!$C$48:$I$100,3,FALSE)&amp;","&amp;E44&amp;","&amp;F44&amp;","&amp;G44&amp;","&amp;H44&amp;","&amp;VLOOKUP(I44,コード!$C$5:$I$11,3,FALSE)&amp;");"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("&amp;"'"&amp;B45&amp;"'"&amp;","&amp;"'"&amp;C45&amp;"'"&amp;","&amp;VLOOKUP(D45,コード!$C$48:$I$100,3,FALSE)&amp;","&amp;E45&amp;","&amp;F45&amp;","&amp;G45&amp;","&amp;H45&amp;","&amp;VLOOKUP(I45,コード!$C$5:$I$11,3,FALSE)&amp;");"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("&amp;"'"&amp;B46&amp;"'"&amp;","&amp;"'"&amp;C46&amp;"'"&amp;","&amp;VLOOKUP(D46,コード!$C$48:$I$100,3,FALSE)&amp;","&amp;E46&amp;","&amp;F46&amp;","&amp;G46&amp;","&amp;H46&amp;","&amp;VLOOKUP(I46,コード!$C$5:$I$11,3,FALSE)&amp;");"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("&amp;"'"&amp;B47&amp;"'"&amp;","&amp;"'"&amp;C47&amp;"'"&amp;","&amp;VLOOKUP(D47,コード!$C$48:$I$100,3,FALSE)&amp;","&amp;E47&amp;","&amp;F47&amp;","&amp;G47&amp;","&amp;H47&amp;","&amp;VLOOKUP(I47,コード!$C$5:$I$11,3,FALSE)&amp;");"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("&amp;"'"&amp;B48&amp;"'"&amp;","&amp;"'"&amp;C48&amp;"'"&amp;","&amp;VLOOKUP(D48,コード!$C$48:$I$100,3,FALSE)&amp;","&amp;E48&amp;","&amp;F48&amp;","&amp;G48&amp;","&amp;H48&amp;","&amp;VLOOKUP(I48,コード!$C$5:$I$11,3,FALSE)&amp;");"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("&amp;"'"&amp;B49&amp;"'"&amp;","&amp;"'"&amp;C49&amp;"'"&amp;","&amp;VLOOKUP(D49,コード!$C$48:$I$100,3,FALSE)&amp;","&amp;E49&amp;","&amp;F49&amp;","&amp;G49&amp;","&amp;H49&amp;","&amp;VLOOKUP(I49,コード!$C$5:$I$11,3,FALSE)&amp;");"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("&amp;"'"&amp;B50&amp;"'"&amp;","&amp;"'"&amp;C50&amp;"'"&amp;","&amp;VLOOKUP(D50,コード!$C$48:$I$100,3,FALSE)&amp;","&amp;E50&amp;","&amp;F50&amp;","&amp;G50&amp;","&amp;H50&amp;","&amp;VLOOKUP(I50,コード!$C$5:$I$11,3,FALSE)&amp;");"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("&amp;"'"&amp;B51&amp;"'"&amp;","&amp;"'"&amp;C51&amp;"'"&amp;","&amp;VLOOKUP(D51,コード!$C$48:$I$100,3,FALSE)&amp;","&amp;E51&amp;","&amp;F51&amp;","&amp;G51&amp;","&amp;H51&amp;","&amp;VLOOKUP(I51,コード!$C$5:$I$11,3,FALSE)&amp;");"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("&amp;"'"&amp;B52&amp;"'"&amp;","&amp;"'"&amp;C52&amp;"'"&amp;","&amp;VLOOKUP(D52,コード!$C$48:$I$100,3,FALSE)&amp;","&amp;E52&amp;","&amp;F52&amp;","&amp;G52&amp;","&amp;H52&amp;","&amp;VLOOKUP(I52,コード!$C$5:$I$11,3,FALSE)&amp;");"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("&amp;"'"&amp;B53&amp;"'"&amp;","&amp;"'"&amp;C53&amp;"'"&amp;","&amp;VLOOKUP(D53,コード!$C$48:$I$100,3,FALSE)&amp;","&amp;E53&amp;","&amp;F53&amp;","&amp;G53&amp;","&amp;H53&amp;","&amp;VLOOKUP(I53,コード!$C$5:$I$11,3,FALSE)&amp;");"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("&amp;"'"&amp;B54&amp;"'"&amp;","&amp;"'"&amp;C54&amp;"'"&amp;","&amp;VLOOKUP(D54,コード!$C$48:$I$100,3,FALSE)&amp;","&amp;E54&amp;","&amp;F54&amp;","&amp;G54&amp;","&amp;H54&amp;","&amp;VLOOKUP(I54,コード!$C$5:$I$11,3,FALSE)&amp;");"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("&amp;"'"&amp;B55&amp;"'"&amp;","&amp;"'"&amp;C55&amp;"'"&amp;","&amp;VLOOKUP(D55,コード!$C$48:$I$100,3,FALSE)&amp;","&amp;E55&amp;","&amp;F55&amp;","&amp;G55&amp;","&amp;H55&amp;","&amp;VLOOKUP(I55,コード!$C$5:$I$11,3,FALSE)&amp;");"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("&amp;"'"&amp;B56&amp;"'"&amp;","&amp;"'"&amp;C56&amp;"'"&amp;","&amp;VLOOKUP(D56,コード!$C$48:$I$100,3,FALSE)&amp;","&amp;E56&amp;","&amp;F56&amp;","&amp;G56&amp;","&amp;H56&amp;","&amp;VLOOKUP(I56,コード!$C$5:$I$11,3,FALSE)&amp;");"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("&amp;"'"&amp;B57&amp;"'"&amp;","&amp;"'"&amp;C57&amp;"'"&amp;","&amp;VLOOKUP(D57,コード!$C$48:$I$100,3,FALSE)&amp;","&amp;E57&amp;","&amp;F57&amp;","&amp;G57&amp;","&amp;H57&amp;","&amp;VLOOKUP(I57,コード!$C$5:$I$11,3,FALSE)&amp;");"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("&amp;"'"&amp;B58&amp;"'"&amp;","&amp;"'"&amp;C58&amp;"'"&amp;","&amp;VLOOKUP(D58,コード!$C$48:$I$100,3,FALSE)&amp;","&amp;E58&amp;","&amp;F58&amp;","&amp;G58&amp;","&amp;H58&amp;","&amp;VLOOKUP(I58,コード!$C$5:$I$11,3,FALSE)&amp;");"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("&amp;"'"&amp;B59&amp;"'"&amp;","&amp;"'"&amp;C59&amp;"'"&amp;","&amp;VLOOKUP(D59,コード!$C$48:$I$100,3,FALSE)&amp;","&amp;E59&amp;","&amp;F59&amp;","&amp;G59&amp;","&amp;H59&amp;","&amp;VLOOKUP(I59,コード!$C$5:$I$11,3,FALSE)&amp;");"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("&amp;"'"&amp;B60&amp;"'"&amp;","&amp;"'"&amp;C60&amp;"'"&amp;","&amp;VLOOKUP(D60,コード!$C$48:$I$100,3,FALSE)&amp;","&amp;E60&amp;","&amp;F60&amp;","&amp;G60&amp;","&amp;H60&amp;","&amp;VLOOKUP(I60,コード!$C$5:$I$11,3,FALSE)&amp;");"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("&amp;"'"&amp;B61&amp;"'"&amp;","&amp;"'"&amp;C61&amp;"'"&amp;","&amp;VLOOKUP(D61,コード!$C$48:$I$100,3,FALSE)&amp;","&amp;E61&amp;","&amp;F61&amp;","&amp;G61&amp;","&amp;H61&amp;","&amp;VLOOKUP(I61,コード!$C$5:$I$11,3,FALSE)&amp;");"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("&amp;"'"&amp;B62&amp;"'"&amp;","&amp;"'"&amp;C62&amp;"'"&amp;","&amp;VLOOKUP(D62,コード!$C$48:$I$100,3,FALSE)&amp;","&amp;E62&amp;","&amp;F62&amp;","&amp;G62&amp;","&amp;H62&amp;","&amp;VLOOKUP(I62,コード!$C$5:$I$11,3,FALSE)&amp;");"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56">
        <v>0.08</v>
      </c>
      <c r="I63" s="10" t="s">
        <v>299</v>
      </c>
      <c r="L63" s="5" t="str">
        <f>"INSERT INTO m_monster VALUES ("&amp;"'"&amp;B63&amp;"'"&amp;","&amp;"'"&amp;C63&amp;"'"&amp;","&amp;VLOOKUP(D63,コード!$C$48:$I$100,3,FALSE)&amp;","&amp;E63&amp;","&amp;F63&amp;","&amp;G63&amp;","&amp;H63&amp;","&amp;VLOOKUP(I63,コード!$C$5:$I$11,3,FALSE)&amp;");"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("&amp;"'"&amp;B64&amp;"'"&amp;","&amp;"'"&amp;C64&amp;"'"&amp;","&amp;VLOOKUP(D64,コード!$C$48:$I$100,3,FALSE)&amp;","&amp;E64&amp;","&amp;F64&amp;","&amp;G64&amp;","&amp;H64&amp;","&amp;VLOOKUP(I64,コード!$C$5:$I$11,3,FALSE)&amp;");"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("&amp;"'"&amp;B65&amp;"'"&amp;","&amp;"'"&amp;C65&amp;"'"&amp;","&amp;VLOOKUP(D65,コード!$C$48:$I$100,3,FALSE)&amp;","&amp;E65&amp;","&amp;F65&amp;","&amp;G65&amp;","&amp;H65&amp;","&amp;VLOOKUP(I65,コード!$C$5:$I$11,3,FALSE)&amp;");"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("&amp;"'"&amp;B66&amp;"'"&amp;","&amp;"'"&amp;C66&amp;"'"&amp;","&amp;VLOOKUP(D66,コード!$C$48:$I$100,3,FALSE)&amp;","&amp;E66&amp;","&amp;F66&amp;","&amp;G66&amp;","&amp;H66&amp;","&amp;VLOOKUP(I66,コード!$C$5:$I$11,3,FALSE)&amp;");"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("&amp;"'"&amp;B67&amp;"'"&amp;","&amp;"'"&amp;C67&amp;"'"&amp;","&amp;VLOOKUP(D67,コード!$C$48:$I$100,3,FALSE)&amp;","&amp;E67&amp;","&amp;F67&amp;","&amp;G67&amp;","&amp;H67&amp;","&amp;VLOOKUP(I67,コード!$C$5:$I$11,3,FALSE)&amp;");"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("&amp;"'"&amp;B68&amp;"'"&amp;","&amp;"'"&amp;C68&amp;"'"&amp;","&amp;VLOOKUP(D68,コード!$C$48:$I$100,3,FALSE)&amp;","&amp;E68&amp;","&amp;F68&amp;","&amp;G68&amp;","&amp;H68&amp;","&amp;VLOOKUP(I68,コード!$C$5:$I$11,3,FALSE)&amp;");"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("&amp;"'"&amp;B69&amp;"'"&amp;","&amp;"'"&amp;C69&amp;"'"&amp;","&amp;VLOOKUP(D69,コード!$C$48:$I$100,3,FALSE)&amp;","&amp;E69&amp;","&amp;F69&amp;","&amp;G69&amp;","&amp;H69&amp;","&amp;VLOOKUP(I69,コード!$C$5:$I$11,3,FALSE)&amp;");"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("&amp;"'"&amp;B70&amp;"'"&amp;","&amp;"'"&amp;C70&amp;"'"&amp;","&amp;VLOOKUP(D70,コード!$C$48:$I$100,3,FALSE)&amp;","&amp;E70&amp;","&amp;F70&amp;","&amp;G70&amp;","&amp;H70&amp;","&amp;VLOOKUP(I70,コード!$C$5:$I$11,3,FALSE)&amp;");"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("&amp;"'"&amp;B71&amp;"'"&amp;","&amp;"'"&amp;C71&amp;"'"&amp;","&amp;VLOOKUP(D71,コード!$C$48:$I$100,3,FALSE)&amp;","&amp;E71&amp;","&amp;F71&amp;","&amp;G71&amp;","&amp;H71&amp;","&amp;VLOOKUP(I71,コード!$C$5:$I$11,3,FALSE)&amp;");"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("&amp;"'"&amp;B72&amp;"'"&amp;","&amp;"'"&amp;C72&amp;"'"&amp;","&amp;VLOOKUP(D72,コード!$C$48:$I$100,3,FALSE)&amp;","&amp;E72&amp;","&amp;F72&amp;","&amp;G72&amp;","&amp;H72&amp;","&amp;VLOOKUP(I72,コード!$C$5:$I$11,3,FALSE)&amp;");"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("&amp;"'"&amp;B73&amp;"'"&amp;","&amp;"'"&amp;C73&amp;"'"&amp;","&amp;VLOOKUP(D73,コード!$C$48:$I$100,3,FALSE)&amp;","&amp;E73&amp;","&amp;F73&amp;","&amp;G73&amp;","&amp;H73&amp;","&amp;VLOOKUP(I73,コード!$C$5:$I$11,3,FALSE)&amp;");"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("&amp;"'"&amp;B74&amp;"'"&amp;","&amp;"'"&amp;C74&amp;"'"&amp;","&amp;VLOOKUP(D74,コード!$C$48:$I$100,3,FALSE)&amp;","&amp;E74&amp;","&amp;F74&amp;","&amp;G74&amp;","&amp;H74&amp;","&amp;VLOOKUP(I74,コード!$C$5:$I$11,3,FALSE)&amp;");"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("&amp;"'"&amp;B75&amp;"'"&amp;","&amp;"'"&amp;C75&amp;"'"&amp;","&amp;VLOOKUP(D75,コード!$C$48:$I$100,3,FALSE)&amp;","&amp;E75&amp;","&amp;F75&amp;","&amp;G75&amp;","&amp;H75&amp;","&amp;VLOOKUP(I75,コード!$C$5:$I$11,3,FALSE)&amp;");"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("&amp;"'"&amp;B76&amp;"'"&amp;","&amp;"'"&amp;C76&amp;"'"&amp;","&amp;VLOOKUP(D76,コード!$C$48:$I$100,3,FALSE)&amp;","&amp;E76&amp;","&amp;F76&amp;","&amp;G76&amp;","&amp;H76&amp;","&amp;VLOOKUP(I76,コード!$C$5:$I$11,3,FALSE)&amp;");"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("&amp;"'"&amp;B77&amp;"'"&amp;","&amp;"'"&amp;C77&amp;"'"&amp;","&amp;VLOOKUP(D77,コード!$C$48:$I$100,3,FALSE)&amp;","&amp;E77&amp;","&amp;F77&amp;","&amp;G77&amp;","&amp;H77&amp;","&amp;VLOOKUP(I77,コード!$C$5:$I$11,3,FALSE)&amp;");"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("&amp;"'"&amp;B78&amp;"'"&amp;","&amp;"'"&amp;C78&amp;"'"&amp;","&amp;VLOOKUP(D78,コード!$C$48:$I$100,3,FALSE)&amp;","&amp;E78&amp;","&amp;F78&amp;","&amp;G78&amp;","&amp;H78&amp;","&amp;VLOOKUP(I78,コード!$C$5:$I$11,3,FALSE)&amp;");"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("&amp;"'"&amp;B79&amp;"'"&amp;","&amp;"'"&amp;C79&amp;"'"&amp;","&amp;VLOOKUP(D79,コード!$C$48:$I$100,3,FALSE)&amp;","&amp;E79&amp;","&amp;F79&amp;","&amp;G79&amp;","&amp;H79&amp;","&amp;VLOOKUP(I79,コード!$C$5:$I$11,3,FALSE)&amp;");"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("&amp;"'"&amp;B80&amp;"'"&amp;","&amp;"'"&amp;C80&amp;"'"&amp;","&amp;VLOOKUP(D80,コード!$C$48:$I$100,3,FALSE)&amp;","&amp;E80&amp;","&amp;F80&amp;","&amp;G80&amp;","&amp;H80&amp;","&amp;VLOOKUP(I80,コード!$C$5:$I$11,3,FALSE)&amp;");"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("&amp;"'"&amp;B81&amp;"'"&amp;","&amp;"'"&amp;C81&amp;"'"&amp;","&amp;VLOOKUP(D81,コード!$C$48:$I$100,3,FALSE)&amp;","&amp;E81&amp;","&amp;F81&amp;","&amp;G81&amp;","&amp;H81&amp;","&amp;VLOOKUP(I81,コード!$C$5:$I$11,3,FALSE)&amp;");"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("&amp;"'"&amp;B82&amp;"'"&amp;","&amp;"'"&amp;C82&amp;"'"&amp;","&amp;VLOOKUP(D82,コード!$C$48:$I$100,3,FALSE)&amp;","&amp;E82&amp;","&amp;F82&amp;","&amp;G82&amp;","&amp;H82&amp;","&amp;VLOOKUP(I82,コード!$C$5:$I$11,3,FALSE)&amp;");"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("&amp;"'"&amp;B83&amp;"'"&amp;","&amp;"'"&amp;C83&amp;"'"&amp;","&amp;VLOOKUP(D83,コード!$C$48:$I$100,3,FALSE)&amp;","&amp;E83&amp;","&amp;F83&amp;","&amp;G83&amp;","&amp;H83&amp;","&amp;VLOOKUP(I83,コード!$C$5:$I$11,3,FALSE)&amp;");"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("&amp;"'"&amp;B84&amp;"'"&amp;","&amp;"'"&amp;C84&amp;"'"&amp;","&amp;VLOOKUP(D84,コード!$C$48:$I$100,3,FALSE)&amp;","&amp;E84&amp;","&amp;F84&amp;","&amp;G84&amp;","&amp;H84&amp;","&amp;VLOOKUP(I84,コード!$C$5:$I$11,3,FALSE)&amp;");"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("&amp;"'"&amp;B85&amp;"'"&amp;","&amp;"'"&amp;C85&amp;"'"&amp;","&amp;VLOOKUP(D85,コード!$C$48:$I$100,3,FALSE)&amp;","&amp;E85&amp;","&amp;F85&amp;","&amp;G85&amp;","&amp;H85&amp;","&amp;VLOOKUP(I85,コード!$C$5:$I$11,3,FALSE)&amp;");"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("&amp;"'"&amp;B86&amp;"'"&amp;","&amp;"'"&amp;C86&amp;"'"&amp;","&amp;VLOOKUP(D86,コード!$C$48:$I$100,3,FALSE)&amp;","&amp;E86&amp;","&amp;F86&amp;","&amp;G86&amp;","&amp;H86&amp;","&amp;VLOOKUP(I86,コード!$C$5:$I$11,3,FALSE)&amp;");"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("&amp;"'"&amp;B87&amp;"'"&amp;","&amp;"'"&amp;C87&amp;"'"&amp;","&amp;VLOOKUP(D87,コード!$C$48:$I$100,3,FALSE)&amp;","&amp;E87&amp;","&amp;F87&amp;","&amp;G87&amp;","&amp;H87&amp;","&amp;VLOOKUP(I87,コード!$C$5:$I$11,3,FALSE)&amp;");"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("&amp;"'"&amp;B88&amp;"'"&amp;","&amp;"'"&amp;C88&amp;"'"&amp;","&amp;VLOOKUP(D88,コード!$C$48:$I$100,3,FALSE)&amp;","&amp;E88&amp;","&amp;F88&amp;","&amp;G88&amp;","&amp;H88&amp;","&amp;VLOOKUP(I88,コード!$C$5:$I$11,3,FALSE)&amp;");"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("&amp;"'"&amp;B89&amp;"'"&amp;","&amp;"'"&amp;C89&amp;"'"&amp;","&amp;VLOOKUP(D89,コード!$C$48:$I$100,3,FALSE)&amp;","&amp;E89&amp;","&amp;F89&amp;","&amp;G89&amp;","&amp;H89&amp;","&amp;VLOOKUP(I89,コード!$C$5:$I$11,3,FALSE)&amp;");"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1179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1179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1180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1180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1183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1183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1182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1182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1182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1179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1180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1182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1182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1182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1179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1180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K79"/>
  <sheetViews>
    <sheetView workbookViewId="0">
      <selection activeCell="J18" sqref="J18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1">
      <c r="B2" s="1" t="s">
        <v>1238</v>
      </c>
    </row>
    <row r="3" spans="1:11">
      <c r="B3" s="59" t="s">
        <v>1184</v>
      </c>
      <c r="C3" s="59" t="s">
        <v>1198</v>
      </c>
      <c r="D3" s="59" t="s">
        <v>1237</v>
      </c>
      <c r="E3" s="59" t="s">
        <v>1292</v>
      </c>
      <c r="F3" s="59" t="s">
        <v>1400</v>
      </c>
      <c r="H3" s="1" t="s">
        <v>1306</v>
      </c>
    </row>
    <row r="4" spans="1:11">
      <c r="A4" s="1" t="s">
        <v>1291</v>
      </c>
      <c r="B4" s="60" t="s">
        <v>1290</v>
      </c>
      <c r="C4" s="60" t="s">
        <v>1289</v>
      </c>
      <c r="D4" s="60" t="s">
        <v>1239</v>
      </c>
      <c r="E4" s="60" t="s">
        <v>1432</v>
      </c>
      <c r="F4" s="60" t="s">
        <v>1302</v>
      </c>
      <c r="G4" s="1" t="s">
        <v>7</v>
      </c>
      <c r="H4" s="1" t="s">
        <v>1307</v>
      </c>
    </row>
    <row r="5" spans="1:11" ht="13.2">
      <c r="B5" s="58" t="s">
        <v>1185</v>
      </c>
      <c r="C5" s="1" t="s">
        <v>1202</v>
      </c>
      <c r="D5" s="1" t="s">
        <v>1240</v>
      </c>
      <c r="E5" s="1" t="s">
        <v>1293</v>
      </c>
      <c r="F5" s="1" t="s">
        <v>1303</v>
      </c>
    </row>
    <row r="6" spans="1:11" ht="13.2">
      <c r="B6" s="58" t="s">
        <v>1186</v>
      </c>
      <c r="C6" s="1" t="s">
        <v>1203</v>
      </c>
      <c r="D6" s="1" t="s">
        <v>1241</v>
      </c>
      <c r="E6" s="1" t="s">
        <v>1294</v>
      </c>
      <c r="F6" s="1" t="s">
        <v>1185</v>
      </c>
      <c r="H6" s="1" t="s">
        <v>1434</v>
      </c>
      <c r="J6" s="1" t="s">
        <v>1381</v>
      </c>
    </row>
    <row r="7" spans="1:11" ht="13.2">
      <c r="B7" s="58" t="s">
        <v>1199</v>
      </c>
      <c r="C7" s="1" t="s">
        <v>1204</v>
      </c>
      <c r="D7" s="1" t="s">
        <v>1242</v>
      </c>
      <c r="E7" s="1" t="s">
        <v>1295</v>
      </c>
      <c r="F7" s="1" t="s">
        <v>1186</v>
      </c>
      <c r="H7" s="1" t="s">
        <v>1308</v>
      </c>
      <c r="J7" s="1" t="s">
        <v>1389</v>
      </c>
      <c r="K7" s="1" t="s">
        <v>1391</v>
      </c>
    </row>
    <row r="8" spans="1:11" ht="13.2">
      <c r="B8" s="58" t="s">
        <v>1187</v>
      </c>
      <c r="C8" s="1" t="s">
        <v>1205</v>
      </c>
      <c r="D8" s="1" t="s">
        <v>1243</v>
      </c>
      <c r="E8" s="1" t="s">
        <v>1209</v>
      </c>
      <c r="F8" s="1" t="s">
        <v>1304</v>
      </c>
      <c r="H8" s="1" t="s">
        <v>1309</v>
      </c>
      <c r="J8" s="1" t="s">
        <v>1390</v>
      </c>
      <c r="K8" s="1" t="s">
        <v>1392</v>
      </c>
    </row>
    <row r="9" spans="1:11" ht="13.2">
      <c r="B9" s="58" t="s">
        <v>1188</v>
      </c>
      <c r="C9" s="1" t="s">
        <v>1206</v>
      </c>
      <c r="D9" s="1" t="s">
        <v>1244</v>
      </c>
      <c r="E9" s="1" t="s">
        <v>1210</v>
      </c>
      <c r="F9" s="1" t="s">
        <v>1213</v>
      </c>
      <c r="H9" s="1" t="s">
        <v>1310</v>
      </c>
      <c r="J9" s="1" t="s">
        <v>1207</v>
      </c>
    </row>
    <row r="10" spans="1:11" ht="13.2">
      <c r="B10" s="58" t="s">
        <v>1189</v>
      </c>
      <c r="C10" s="1" t="s">
        <v>1207</v>
      </c>
      <c r="D10" s="1" t="s">
        <v>1245</v>
      </c>
      <c r="E10" s="1" t="s">
        <v>1211</v>
      </c>
      <c r="F10" s="1" t="s">
        <v>1189</v>
      </c>
      <c r="H10" s="1" t="s">
        <v>1311</v>
      </c>
      <c r="J10" s="1" t="s">
        <v>1204</v>
      </c>
      <c r="K10" s="1" t="s">
        <v>1393</v>
      </c>
    </row>
    <row r="11" spans="1:11" ht="13.2">
      <c r="B11" s="58" t="s">
        <v>1190</v>
      </c>
      <c r="C11" s="1" t="s">
        <v>1208</v>
      </c>
      <c r="D11" s="1" t="s">
        <v>1196</v>
      </c>
      <c r="E11" s="1" t="s">
        <v>1296</v>
      </c>
      <c r="F11" s="1" t="s">
        <v>1218</v>
      </c>
      <c r="H11" s="1" t="s">
        <v>1312</v>
      </c>
      <c r="J11" s="1" t="s">
        <v>1195</v>
      </c>
      <c r="K11" s="1" t="s">
        <v>1394</v>
      </c>
    </row>
    <row r="12" spans="1:11" ht="13.2">
      <c r="B12" s="58" t="s">
        <v>1191</v>
      </c>
      <c r="C12" s="1" t="s">
        <v>1209</v>
      </c>
      <c r="D12" s="1" t="s">
        <v>1246</v>
      </c>
      <c r="E12" s="1" t="s">
        <v>1254</v>
      </c>
      <c r="F12" s="1" t="s">
        <v>1196</v>
      </c>
      <c r="H12" s="1" t="s">
        <v>1313</v>
      </c>
      <c r="J12" s="1" t="s">
        <v>1387</v>
      </c>
      <c r="K12" s="1" t="s">
        <v>1395</v>
      </c>
    </row>
    <row r="13" spans="1:11" ht="13.2">
      <c r="B13" s="58" t="s">
        <v>1192</v>
      </c>
      <c r="C13" s="1" t="s">
        <v>1210</v>
      </c>
      <c r="D13" s="1" t="s">
        <v>1247</v>
      </c>
      <c r="E13" s="1" t="s">
        <v>1264</v>
      </c>
      <c r="F13" s="1" t="s">
        <v>1195</v>
      </c>
      <c r="H13" s="1" t="s">
        <v>1314</v>
      </c>
      <c r="J13" s="1" t="s">
        <v>1197</v>
      </c>
    </row>
    <row r="14" spans="1:11" ht="13.2">
      <c r="B14" s="58" t="s">
        <v>1193</v>
      </c>
      <c r="C14" s="1" t="s">
        <v>1211</v>
      </c>
      <c r="D14" s="1" t="s">
        <v>1248</v>
      </c>
      <c r="E14" s="1" t="s">
        <v>1214</v>
      </c>
      <c r="F14" s="1" t="s">
        <v>1305</v>
      </c>
      <c r="H14" s="1" t="s">
        <v>1315</v>
      </c>
      <c r="J14" s="1" t="s">
        <v>1396</v>
      </c>
    </row>
    <row r="15" spans="1:11" ht="13.2">
      <c r="B15" s="58" t="s">
        <v>1194</v>
      </c>
      <c r="C15" s="1" t="s">
        <v>1212</v>
      </c>
      <c r="D15" s="1" t="s">
        <v>1249</v>
      </c>
      <c r="E15" s="1" t="s">
        <v>1215</v>
      </c>
      <c r="F15" s="1" t="s">
        <v>1293</v>
      </c>
      <c r="H15" s="1" t="s">
        <v>1316</v>
      </c>
      <c r="J15" s="1" t="s">
        <v>1382</v>
      </c>
    </row>
    <row r="16" spans="1:11" ht="13.2">
      <c r="B16" s="58" t="s">
        <v>1195</v>
      </c>
      <c r="C16" s="1" t="s">
        <v>1213</v>
      </c>
      <c r="D16" s="1" t="s">
        <v>1250</v>
      </c>
      <c r="E16" s="1" t="s">
        <v>1297</v>
      </c>
      <c r="H16" s="1" t="s">
        <v>1317</v>
      </c>
      <c r="J16" s="1" t="s">
        <v>1383</v>
      </c>
    </row>
    <row r="17" spans="2:10" ht="13.2">
      <c r="B17" s="58" t="s">
        <v>1196</v>
      </c>
      <c r="C17" s="1" t="s">
        <v>1214</v>
      </c>
      <c r="D17" s="1" t="s">
        <v>1203</v>
      </c>
      <c r="E17" s="1" t="s">
        <v>1298</v>
      </c>
      <c r="H17" s="1" t="s">
        <v>1318</v>
      </c>
      <c r="J17" s="1" t="s">
        <v>1217</v>
      </c>
    </row>
    <row r="18" spans="2:10" ht="13.2">
      <c r="B18" s="58" t="s">
        <v>1200</v>
      </c>
      <c r="C18" s="1" t="s">
        <v>1215</v>
      </c>
      <c r="D18" s="1" t="s">
        <v>1204</v>
      </c>
      <c r="E18" s="1" t="s">
        <v>1299</v>
      </c>
      <c r="H18" s="1" t="s">
        <v>1319</v>
      </c>
      <c r="J18" s="1" t="s">
        <v>1385</v>
      </c>
    </row>
    <row r="19" spans="2:10" ht="13.2">
      <c r="B19" s="58" t="s">
        <v>1197</v>
      </c>
      <c r="C19" s="1" t="s">
        <v>1216</v>
      </c>
      <c r="D19" s="1" t="s">
        <v>1251</v>
      </c>
      <c r="E19" s="1" t="s">
        <v>1195</v>
      </c>
      <c r="H19" s="1" t="s">
        <v>1320</v>
      </c>
      <c r="J19" s="1" t="s">
        <v>1254</v>
      </c>
    </row>
    <row r="20" spans="2:10" ht="13.2">
      <c r="B20" s="58" t="s">
        <v>1201</v>
      </c>
      <c r="C20" s="1" t="s">
        <v>1217</v>
      </c>
      <c r="D20" s="1" t="s">
        <v>1252</v>
      </c>
      <c r="E20" s="1" t="s">
        <v>1225</v>
      </c>
      <c r="H20" s="1" t="s">
        <v>1321</v>
      </c>
      <c r="J20" s="1" t="s">
        <v>1384</v>
      </c>
    </row>
    <row r="21" spans="2:10">
      <c r="C21" s="1" t="s">
        <v>1218</v>
      </c>
      <c r="D21" s="1" t="s">
        <v>1253</v>
      </c>
      <c r="E21" s="1" t="s">
        <v>1274</v>
      </c>
      <c r="H21" s="1" t="s">
        <v>1322</v>
      </c>
      <c r="J21" s="1" t="s">
        <v>1388</v>
      </c>
    </row>
    <row r="22" spans="2:10">
      <c r="C22" s="1" t="s">
        <v>1219</v>
      </c>
      <c r="D22" s="1" t="s">
        <v>1254</v>
      </c>
      <c r="E22" s="1" t="s">
        <v>1300</v>
      </c>
      <c r="H22" s="1" t="s">
        <v>1323</v>
      </c>
      <c r="J22" s="1" t="s">
        <v>1209</v>
      </c>
    </row>
    <row r="23" spans="2:10">
      <c r="C23" s="1" t="s">
        <v>1195</v>
      </c>
      <c r="D23" s="1" t="s">
        <v>1255</v>
      </c>
      <c r="E23" s="1" t="s">
        <v>1221</v>
      </c>
      <c r="H23" s="1" t="s">
        <v>1324</v>
      </c>
      <c r="J23" s="1" t="s">
        <v>1435</v>
      </c>
    </row>
    <row r="24" spans="2:10">
      <c r="C24" s="1" t="s">
        <v>1220</v>
      </c>
      <c r="D24" s="1" t="s">
        <v>1256</v>
      </c>
      <c r="H24" s="1" t="s">
        <v>1325</v>
      </c>
      <c r="J24" s="1" t="s">
        <v>1436</v>
      </c>
    </row>
    <row r="25" spans="2:10">
      <c r="C25" s="1" t="s">
        <v>1221</v>
      </c>
      <c r="D25" s="1" t="s">
        <v>1209</v>
      </c>
      <c r="H25" s="1" t="s">
        <v>1326</v>
      </c>
      <c r="J25" s="1" t="s">
        <v>1386</v>
      </c>
    </row>
    <row r="26" spans="2:10">
      <c r="C26" s="1" t="s">
        <v>1222</v>
      </c>
      <c r="D26" s="1" t="s">
        <v>1257</v>
      </c>
      <c r="H26" s="1" t="s">
        <v>1327</v>
      </c>
    </row>
    <row r="27" spans="2:10">
      <c r="C27" s="1" t="s">
        <v>1223</v>
      </c>
      <c r="D27" s="1" t="s">
        <v>1258</v>
      </c>
      <c r="H27" s="1" t="s">
        <v>1328</v>
      </c>
    </row>
    <row r="28" spans="2:10">
      <c r="C28" s="1" t="s">
        <v>1224</v>
      </c>
      <c r="D28" s="1" t="s">
        <v>1259</v>
      </c>
      <c r="H28" s="1" t="s">
        <v>1329</v>
      </c>
    </row>
    <row r="29" spans="2:10">
      <c r="C29" s="1" t="s">
        <v>1225</v>
      </c>
      <c r="D29" s="1" t="s">
        <v>1227</v>
      </c>
      <c r="H29" s="1" t="s">
        <v>1330</v>
      </c>
    </row>
    <row r="30" spans="2:10">
      <c r="C30" s="1" t="s">
        <v>1226</v>
      </c>
      <c r="D30" s="1" t="s">
        <v>1260</v>
      </c>
      <c r="H30" s="1" t="s">
        <v>1331</v>
      </c>
    </row>
    <row r="31" spans="2:10">
      <c r="C31" s="1" t="s">
        <v>1227</v>
      </c>
      <c r="D31" s="1" t="s">
        <v>1226</v>
      </c>
      <c r="H31" s="1" t="s">
        <v>1332</v>
      </c>
    </row>
    <row r="32" spans="2:10">
      <c r="C32" s="1" t="s">
        <v>1197</v>
      </c>
      <c r="D32" s="1" t="s">
        <v>1261</v>
      </c>
      <c r="H32" s="1" t="s">
        <v>1333</v>
      </c>
    </row>
    <row r="33" spans="3:8">
      <c r="C33" s="1" t="s">
        <v>1228</v>
      </c>
      <c r="D33" s="1" t="s">
        <v>1262</v>
      </c>
      <c r="H33" s="1" t="s">
        <v>1334</v>
      </c>
    </row>
    <row r="34" spans="3:8">
      <c r="C34" s="1" t="s">
        <v>1229</v>
      </c>
      <c r="D34" s="1" t="s">
        <v>1263</v>
      </c>
      <c r="H34" s="1" t="s">
        <v>1335</v>
      </c>
    </row>
    <row r="35" spans="3:8">
      <c r="C35" s="1" t="s">
        <v>1230</v>
      </c>
      <c r="D35" s="1" t="s">
        <v>1264</v>
      </c>
      <c r="H35" s="1" t="s">
        <v>1336</v>
      </c>
    </row>
    <row r="36" spans="3:8">
      <c r="C36" s="1" t="s">
        <v>1231</v>
      </c>
      <c r="D36" s="1" t="s">
        <v>1265</v>
      </c>
      <c r="H36" s="1" t="s">
        <v>1337</v>
      </c>
    </row>
    <row r="37" spans="3:8">
      <c r="C37" s="1" t="s">
        <v>1232</v>
      </c>
      <c r="D37" s="1" t="s">
        <v>1266</v>
      </c>
      <c r="H37" s="1" t="s">
        <v>1338</v>
      </c>
    </row>
    <row r="38" spans="3:8">
      <c r="C38" s="1" t="s">
        <v>1233</v>
      </c>
      <c r="D38" s="1" t="s">
        <v>1267</v>
      </c>
      <c r="H38" s="1" t="s">
        <v>1339</v>
      </c>
    </row>
    <row r="39" spans="3:8">
      <c r="C39" s="1" t="s">
        <v>1234</v>
      </c>
      <c r="D39" s="1" t="s">
        <v>1268</v>
      </c>
      <c r="H39" s="1" t="s">
        <v>1340</v>
      </c>
    </row>
    <row r="40" spans="3:8">
      <c r="C40" s="1" t="s">
        <v>1235</v>
      </c>
      <c r="D40" s="1" t="s">
        <v>1269</v>
      </c>
      <c r="H40" s="1" t="s">
        <v>1341</v>
      </c>
    </row>
    <row r="41" spans="3:8">
      <c r="C41" s="1" t="s">
        <v>1236</v>
      </c>
      <c r="D41" s="1" t="s">
        <v>1270</v>
      </c>
      <c r="H41" s="1" t="s">
        <v>1342</v>
      </c>
    </row>
    <row r="42" spans="3:8">
      <c r="D42" s="1" t="s">
        <v>1271</v>
      </c>
      <c r="H42" s="1" t="s">
        <v>1343</v>
      </c>
    </row>
    <row r="43" spans="3:8">
      <c r="D43" s="1" t="s">
        <v>1272</v>
      </c>
      <c r="H43" s="1" t="s">
        <v>1344</v>
      </c>
    </row>
    <row r="44" spans="3:8">
      <c r="D44" s="1" t="s">
        <v>1273</v>
      </c>
      <c r="H44" s="1" t="s">
        <v>1345</v>
      </c>
    </row>
    <row r="45" spans="3:8">
      <c r="D45" s="1" t="s">
        <v>1190</v>
      </c>
      <c r="H45" s="1" t="s">
        <v>1346</v>
      </c>
    </row>
    <row r="46" spans="3:8">
      <c r="D46" s="1" t="s">
        <v>1274</v>
      </c>
      <c r="H46" s="1" t="s">
        <v>1347</v>
      </c>
    </row>
    <row r="47" spans="3:8">
      <c r="D47" s="1" t="s">
        <v>1195</v>
      </c>
      <c r="H47" s="1" t="s">
        <v>1348</v>
      </c>
    </row>
    <row r="48" spans="3:8">
      <c r="D48" s="1" t="s">
        <v>1275</v>
      </c>
      <c r="H48" s="1" t="s">
        <v>1349</v>
      </c>
    </row>
    <row r="49" spans="4:8">
      <c r="D49" s="1" t="s">
        <v>1276</v>
      </c>
      <c r="H49" s="1" t="s">
        <v>1350</v>
      </c>
    </row>
    <row r="50" spans="4:8">
      <c r="D50" s="1" t="s">
        <v>1222</v>
      </c>
      <c r="H50" s="1" t="s">
        <v>1351</v>
      </c>
    </row>
    <row r="51" spans="4:8">
      <c r="D51" s="1" t="s">
        <v>1277</v>
      </c>
      <c r="H51" s="1" t="s">
        <v>1352</v>
      </c>
    </row>
    <row r="52" spans="4:8">
      <c r="D52" s="1" t="s">
        <v>1278</v>
      </c>
      <c r="H52" s="1" t="s">
        <v>1353</v>
      </c>
    </row>
    <row r="53" spans="4:8">
      <c r="D53" s="1" t="s">
        <v>1279</v>
      </c>
      <c r="H53" s="1" t="s">
        <v>1354</v>
      </c>
    </row>
    <row r="54" spans="4:8">
      <c r="D54" s="1" t="s">
        <v>1280</v>
      </c>
      <c r="H54" s="1" t="s">
        <v>1355</v>
      </c>
    </row>
    <row r="55" spans="4:8">
      <c r="D55" s="1" t="s">
        <v>1281</v>
      </c>
      <c r="H55" s="1" t="s">
        <v>1356</v>
      </c>
    </row>
    <row r="56" spans="4:8">
      <c r="D56" s="1" t="s">
        <v>1282</v>
      </c>
      <c r="H56" s="1" t="s">
        <v>1357</v>
      </c>
    </row>
    <row r="57" spans="4:8">
      <c r="D57" s="1" t="s">
        <v>1283</v>
      </c>
      <c r="H57" s="1" t="s">
        <v>1358</v>
      </c>
    </row>
    <row r="58" spans="4:8">
      <c r="D58" s="1" t="s">
        <v>1284</v>
      </c>
      <c r="H58" s="1" t="s">
        <v>1359</v>
      </c>
    </row>
    <row r="59" spans="4:8">
      <c r="D59" s="1" t="s">
        <v>1285</v>
      </c>
      <c r="H59" s="1" t="s">
        <v>1360</v>
      </c>
    </row>
    <row r="60" spans="4:8">
      <c r="D60" s="1" t="s">
        <v>1286</v>
      </c>
      <c r="H60" s="1" t="s">
        <v>1361</v>
      </c>
    </row>
    <row r="61" spans="4:8">
      <c r="D61" s="1" t="s">
        <v>1287</v>
      </c>
      <c r="H61" s="1" t="s">
        <v>1362</v>
      </c>
    </row>
    <row r="62" spans="4:8">
      <c r="D62" s="1" t="s">
        <v>1288</v>
      </c>
      <c r="H62" s="1" t="s">
        <v>1363</v>
      </c>
    </row>
    <row r="63" spans="4:8">
      <c r="H63" s="1" t="s">
        <v>1364</v>
      </c>
    </row>
    <row r="64" spans="4:8">
      <c r="H64" s="1" t="s">
        <v>1365</v>
      </c>
    </row>
    <row r="65" spans="8:8">
      <c r="H65" s="1" t="s">
        <v>1366</v>
      </c>
    </row>
    <row r="66" spans="8:8">
      <c r="H66" s="1" t="s">
        <v>1367</v>
      </c>
    </row>
    <row r="67" spans="8:8">
      <c r="H67" s="1" t="s">
        <v>1368</v>
      </c>
    </row>
    <row r="68" spans="8:8">
      <c r="H68" s="1" t="s">
        <v>1369</v>
      </c>
    </row>
    <row r="69" spans="8:8">
      <c r="H69" s="1" t="s">
        <v>1370</v>
      </c>
    </row>
    <row r="70" spans="8:8">
      <c r="H70" s="1" t="s">
        <v>1371</v>
      </c>
    </row>
    <row r="71" spans="8:8">
      <c r="H71" s="1" t="s">
        <v>1372</v>
      </c>
    </row>
    <row r="72" spans="8:8">
      <c r="H72" s="1" t="s">
        <v>1373</v>
      </c>
    </row>
    <row r="73" spans="8:8">
      <c r="H73" s="1" t="s">
        <v>1374</v>
      </c>
    </row>
    <row r="74" spans="8:8">
      <c r="H74" s="1" t="s">
        <v>1375</v>
      </c>
    </row>
    <row r="75" spans="8:8">
      <c r="H75" s="1" t="s">
        <v>1376</v>
      </c>
    </row>
    <row r="76" spans="8:8">
      <c r="H76" s="1" t="s">
        <v>1377</v>
      </c>
    </row>
    <row r="77" spans="8:8">
      <c r="H77" s="1" t="s">
        <v>1378</v>
      </c>
    </row>
    <row r="78" spans="8:8">
      <c r="H78" s="1" t="s">
        <v>1379</v>
      </c>
    </row>
    <row r="79" spans="8:8">
      <c r="H79" s="1" t="s">
        <v>1380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2026-05-31T12:06:35Z</dcterms:modified>
</cp:coreProperties>
</file>